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d4e571b129376f/デスクトップ/"/>
    </mc:Choice>
  </mc:AlternateContent>
  <xr:revisionPtr revIDLastSave="751" documentId="13_ncr:1_{32AB2D09-9B0B-4964-98C7-B5FDD3C0FF41}" xr6:coauthVersionLast="47" xr6:coauthVersionMax="47" xr10:uidLastSave="{DBCB0023-222F-432E-8129-99BBDF3ED4BE}"/>
  <bookViews>
    <workbookView xWindow="11028" yWindow="0" windowWidth="12072" windowHeight="12336" activeTab="1" xr2:uid="{00000000-000D-0000-FFFF-FFFF00000000}"/>
  </bookViews>
  <sheets>
    <sheet name="原本" sheetId="3" r:id="rId1"/>
    <sheet name="Sheet2" sheetId="6" r:id="rId2"/>
    <sheet name="原本 (2)" sheetId="7" r:id="rId3"/>
  </sheets>
  <externalReferences>
    <externalReference r:id="rId4"/>
  </externalReferences>
  <definedNames>
    <definedName name="_xlnm._FilterDatabase" localSheetId="1" hidden="1">Sheet2!$I$1:$I$41</definedName>
    <definedName name="_xlnm._FilterDatabase" localSheetId="0" hidden="1">原本!$C$1:$C$109</definedName>
    <definedName name="_xlnm._FilterDatabase" localSheetId="2" hidden="1">'原本 (2)'!$C$1:$C$109</definedName>
    <definedName name="バッグ_品名">'[1]設定(削除禁止)'!$U$3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8" i="6" l="1"/>
  <c r="H79" i="6"/>
  <c r="H81" i="6"/>
  <c r="H83" i="6"/>
  <c r="H84" i="6"/>
  <c r="H85" i="6"/>
  <c r="H86" i="6"/>
  <c r="H87" i="6"/>
  <c r="H88" i="6"/>
  <c r="H90" i="6"/>
  <c r="H94" i="6"/>
  <c r="H95" i="6"/>
  <c r="H97" i="6"/>
  <c r="H99" i="6"/>
  <c r="H100" i="6"/>
  <c r="H101" i="6"/>
  <c r="H102" i="6"/>
  <c r="H103" i="6"/>
  <c r="H10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H68" i="6"/>
  <c r="H69" i="6"/>
  <c r="H71" i="6"/>
  <c r="H72" i="6"/>
  <c r="H74" i="6"/>
  <c r="H75" i="6"/>
  <c r="H77" i="6"/>
  <c r="K66" i="6"/>
  <c r="K67" i="6"/>
  <c r="K68" i="6"/>
  <c r="K69" i="6"/>
  <c r="K70" i="6"/>
  <c r="K71" i="6"/>
  <c r="K72" i="6"/>
  <c r="K73" i="6"/>
  <c r="K74" i="6"/>
  <c r="K75" i="6"/>
  <c r="K76" i="6"/>
  <c r="K77" i="6"/>
  <c r="K22" i="6"/>
  <c r="H22" i="6"/>
  <c r="H46" i="6"/>
  <c r="H48" i="6"/>
  <c r="H53" i="6"/>
  <c r="H54" i="6"/>
  <c r="H56" i="6"/>
  <c r="H57" i="6"/>
  <c r="H58" i="6"/>
  <c r="H60" i="6"/>
  <c r="H61" i="6"/>
  <c r="H62" i="6"/>
  <c r="H64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H24" i="6"/>
  <c r="H25" i="6"/>
  <c r="H26" i="6"/>
  <c r="H27" i="6"/>
  <c r="H28" i="6"/>
  <c r="H29" i="6"/>
  <c r="H32" i="6"/>
  <c r="H33" i="6"/>
  <c r="H36" i="6"/>
  <c r="H38" i="6"/>
  <c r="H39" i="6"/>
  <c r="H41" i="6"/>
  <c r="H42" i="6"/>
  <c r="H43" i="6"/>
  <c r="K16" i="6"/>
  <c r="K21" i="6"/>
  <c r="H21" i="6"/>
  <c r="H8" i="6"/>
  <c r="K8" i="6"/>
  <c r="K9" i="6"/>
  <c r="K10" i="6"/>
  <c r="H3" i="6"/>
  <c r="H13" i="6"/>
  <c r="H16" i="6"/>
  <c r="H17" i="6"/>
  <c r="H18" i="6"/>
  <c r="K4" i="6"/>
  <c r="K5" i="6"/>
  <c r="K6" i="6"/>
  <c r="K7" i="6"/>
  <c r="K11" i="6"/>
  <c r="K12" i="6"/>
  <c r="K13" i="6"/>
  <c r="K14" i="6"/>
  <c r="K15" i="6"/>
  <c r="K17" i="6"/>
  <c r="K18" i="6"/>
  <c r="K19" i="6"/>
  <c r="K20" i="6"/>
  <c r="K3" i="6"/>
  <c r="H2" i="6"/>
  <c r="K2" i="6"/>
  <c r="K14" i="3"/>
  <c r="K13" i="3"/>
  <c r="K12" i="3"/>
  <c r="K11" i="3"/>
  <c r="K10" i="3"/>
  <c r="K9" i="3"/>
  <c r="H8" i="3"/>
  <c r="K8" i="3"/>
  <c r="H7" i="3"/>
  <c r="K7" i="3"/>
  <c r="H6" i="3"/>
  <c r="K6" i="3"/>
  <c r="K4" i="3" l="1"/>
  <c r="K3" i="3"/>
  <c r="H2" i="3"/>
  <c r="K2" i="3"/>
  <c r="S54" i="7" l="1"/>
  <c r="U54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2" i="7"/>
  <c r="S52" i="7" s="1"/>
  <c r="U3" i="7" l="1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R52" i="7"/>
  <c r="P52" i="7"/>
  <c r="O52" i="7"/>
  <c r="R51" i="7"/>
  <c r="R39" i="7"/>
  <c r="R40" i="7"/>
  <c r="R41" i="7"/>
  <c r="R42" i="7"/>
  <c r="R43" i="7"/>
  <c r="R44" i="7"/>
  <c r="R45" i="7"/>
  <c r="R46" i="7"/>
  <c r="R47" i="7"/>
  <c r="R48" i="7"/>
  <c r="R49" i="7"/>
  <c r="R50" i="7"/>
  <c r="R38" i="7"/>
  <c r="R35" i="7"/>
  <c r="R36" i="7"/>
  <c r="R34" i="7"/>
  <c r="R24" i="7"/>
  <c r="R25" i="7"/>
  <c r="R26" i="7"/>
  <c r="R27" i="7"/>
  <c r="R28" i="7"/>
  <c r="R29" i="7"/>
  <c r="R30" i="7"/>
  <c r="R31" i="7"/>
  <c r="R32" i="7"/>
  <c r="R23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7" i="7"/>
  <c r="R3" i="7"/>
  <c r="R4" i="7"/>
  <c r="R5" i="7"/>
  <c r="R2" i="7"/>
  <c r="K50" i="7"/>
  <c r="K49" i="7"/>
  <c r="K48" i="7"/>
  <c r="K47" i="7"/>
  <c r="K46" i="7"/>
  <c r="K45" i="7"/>
  <c r="K44" i="7"/>
  <c r="K42" i="7"/>
  <c r="K33" i="7"/>
  <c r="K41" i="7"/>
  <c r="K40" i="7"/>
  <c r="K39" i="7"/>
  <c r="K38" i="7"/>
  <c r="K37" i="7"/>
  <c r="K36" i="7"/>
  <c r="K35" i="7"/>
  <c r="K34" i="7"/>
  <c r="K32" i="7"/>
  <c r="K23" i="7"/>
  <c r="K31" i="7"/>
  <c r="K30" i="7"/>
  <c r="K29" i="7"/>
  <c r="K28" i="7"/>
  <c r="K27" i="7"/>
  <c r="K26" i="7"/>
  <c r="K25" i="7"/>
  <c r="K24" i="7"/>
  <c r="K22" i="7"/>
  <c r="K13" i="7"/>
  <c r="K21" i="7"/>
  <c r="K19" i="7"/>
  <c r="K18" i="7"/>
  <c r="K17" i="7"/>
  <c r="K16" i="7"/>
  <c r="K15" i="7"/>
  <c r="K14" i="7"/>
  <c r="K12" i="7"/>
  <c r="K3" i="7"/>
  <c r="K11" i="7"/>
  <c r="K10" i="7"/>
  <c r="K9" i="7"/>
  <c r="K8" i="7"/>
  <c r="K7" i="7"/>
  <c r="K6" i="7"/>
  <c r="K5" i="7"/>
  <c r="K4" i="7"/>
  <c r="K2" i="7"/>
  <c r="U52" i="7" l="1"/>
</calcChain>
</file>

<file path=xl/sharedStrings.xml><?xml version="1.0" encoding="utf-8"?>
<sst xmlns="http://schemas.openxmlformats.org/spreadsheetml/2006/main" count="1117" uniqueCount="500">
  <si>
    <t>ブランド</t>
  </si>
  <si>
    <t>指値(円)</t>
    <rPh sb="3" eb="4">
      <t>エン</t>
    </rPh>
    <phoneticPr fontId="6"/>
  </si>
  <si>
    <t>バイヤー</t>
    <phoneticPr fontId="3"/>
  </si>
  <si>
    <t>状態</t>
    <rPh sb="0" eb="2">
      <t>ジョウタイ</t>
    </rPh>
    <phoneticPr fontId="3"/>
  </si>
  <si>
    <t>買値</t>
    <rPh sb="0" eb="2">
      <t>カイネ</t>
    </rPh>
    <phoneticPr fontId="3"/>
  </si>
  <si>
    <t>手数料</t>
    <rPh sb="0" eb="3">
      <t>テスウリョウ</t>
    </rPh>
    <phoneticPr fontId="3"/>
  </si>
  <si>
    <t>自社出品</t>
    <rPh sb="0" eb="2">
      <t>ジシャ</t>
    </rPh>
    <rPh sb="2" eb="4">
      <t>シュッピン</t>
    </rPh>
    <phoneticPr fontId="3"/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</si>
  <si>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</si>
  <si>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</si>
  <si>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</si>
  <si>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</si>
  <si>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</si>
  <si>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</si>
  <si>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</si>
  <si>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</si>
  <si>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</si>
  <si>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B-2</t>
  </si>
  <si>
    <t>B-3</t>
  </si>
  <si>
    <t>B-4</t>
  </si>
  <si>
    <t>B-6</t>
  </si>
  <si>
    <t>B-7</t>
  </si>
  <si>
    <t>B-8</t>
  </si>
  <si>
    <t>B-9</t>
  </si>
  <si>
    <t>B-10</t>
  </si>
  <si>
    <t>買値税込み</t>
    <rPh sb="0" eb="2">
      <t>カイネ</t>
    </rPh>
    <rPh sb="2" eb="4">
      <t>ゼイコ</t>
    </rPh>
    <phoneticPr fontId="3"/>
  </si>
  <si>
    <t>箱番、枝番</t>
    <rPh sb="0" eb="2">
      <t>ハコバン</t>
    </rPh>
    <rPh sb="3" eb="5">
      <t>エダバン</t>
    </rPh>
    <phoneticPr fontId="3"/>
  </si>
  <si>
    <t>ロットNo</t>
    <phoneticPr fontId="3"/>
  </si>
  <si>
    <t>C-2</t>
  </si>
  <si>
    <t>C-3</t>
  </si>
  <si>
    <t>C-4</t>
  </si>
  <si>
    <t>C-6</t>
  </si>
  <si>
    <t>C-7</t>
  </si>
  <si>
    <t>C-8</t>
  </si>
  <si>
    <t>C-9</t>
  </si>
  <si>
    <t>C-10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</si>
  <si>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</si>
  <si>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</si>
  <si>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</si>
  <si>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</si>
  <si>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</si>
  <si>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</si>
  <si>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</si>
  <si>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</si>
  <si>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</si>
  <si>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E-2</t>
  </si>
  <si>
    <t>E-3</t>
  </si>
  <si>
    <t>E-4</t>
  </si>
  <si>
    <t>E-5</t>
  </si>
  <si>
    <t>E-6</t>
  </si>
  <si>
    <t>E-7</t>
  </si>
  <si>
    <t>E-8</t>
  </si>
  <si>
    <t>E-9</t>
  </si>
  <si>
    <t>E-10</t>
  </si>
  <si>
    <t>G-1</t>
    <phoneticPr fontId="3"/>
  </si>
  <si>
    <t>G-2</t>
  </si>
  <si>
    <t>G-3</t>
  </si>
  <si>
    <t>G-4</t>
  </si>
  <si>
    <t>G-5</t>
  </si>
  <si>
    <t>G-6</t>
  </si>
  <si>
    <t>G-7</t>
  </si>
  <si>
    <t>G-8</t>
  </si>
  <si>
    <t>付属品</t>
    <rPh sb="0" eb="3">
      <t>フゾクヒン</t>
    </rPh>
    <phoneticPr fontId="3"/>
  </si>
  <si>
    <t>ブランド名</t>
    <rPh sb="4" eb="5">
      <t>メイ</t>
    </rPh>
    <phoneticPr fontId="6"/>
  </si>
  <si>
    <t>商品番号</t>
    <rPh sb="0" eb="4">
      <t>ショウヒンバンゴウ</t>
    </rPh>
    <phoneticPr fontId="3"/>
  </si>
  <si>
    <t>バイヤー２</t>
    <phoneticPr fontId="3"/>
  </si>
  <si>
    <t>G-9</t>
  </si>
  <si>
    <t>G-10</t>
  </si>
  <si>
    <t>売り金額</t>
    <rPh sb="0" eb="1">
      <t>ウ</t>
    </rPh>
    <rPh sb="2" eb="4">
      <t>キンガク</t>
    </rPh>
    <phoneticPr fontId="3"/>
  </si>
  <si>
    <t>A-1</t>
    <phoneticPr fontId="3"/>
  </si>
  <si>
    <t>B-1</t>
    <phoneticPr fontId="3"/>
  </si>
  <si>
    <t>C-1</t>
    <phoneticPr fontId="3"/>
  </si>
  <si>
    <t>D-1</t>
    <phoneticPr fontId="3"/>
  </si>
  <si>
    <t>E-1</t>
  </si>
  <si>
    <t>売り金額 税込み</t>
    <rPh sb="0" eb="1">
      <t>ウ</t>
    </rPh>
    <rPh sb="2" eb="4">
      <t>キンガク</t>
    </rPh>
    <rPh sb="5" eb="7">
      <t>ゼイコ</t>
    </rPh>
    <phoneticPr fontId="3"/>
  </si>
  <si>
    <t>手数料 　税込み</t>
    <rPh sb="0" eb="3">
      <t>テスウリョウ</t>
    </rPh>
    <rPh sb="5" eb="7">
      <t>ゼイコ</t>
    </rPh>
    <phoneticPr fontId="3"/>
  </si>
  <si>
    <t>粗利</t>
    <rPh sb="0" eb="2">
      <t>アラリ</t>
    </rPh>
    <phoneticPr fontId="3"/>
  </si>
  <si>
    <t>C-5</t>
    <phoneticPr fontId="3"/>
  </si>
  <si>
    <t>高橋</t>
    <rPh sb="0" eb="2">
      <t>タカハシ</t>
    </rPh>
    <phoneticPr fontId="3"/>
  </si>
  <si>
    <t>B+　表面擦れ</t>
    <rPh sb="3" eb="6">
      <t>ヒョウメンス</t>
    </rPh>
    <phoneticPr fontId="3"/>
  </si>
  <si>
    <t>B　打痕ハンドル留め具痛み</t>
    <rPh sb="2" eb="4">
      <t>ダコン</t>
    </rPh>
    <rPh sb="8" eb="9">
      <t>ト</t>
    </rPh>
    <rPh sb="10" eb="11">
      <t>グ</t>
    </rPh>
    <rPh sb="11" eb="12">
      <t>イタ</t>
    </rPh>
    <phoneticPr fontId="3"/>
  </si>
  <si>
    <t>笹生</t>
    <rPh sb="0" eb="2">
      <t>サソウ</t>
    </rPh>
    <phoneticPr fontId="3"/>
  </si>
  <si>
    <t>B+　ねじ２交換　カドフチ塗装</t>
    <rPh sb="6" eb="8">
      <t>コウカン</t>
    </rPh>
    <rPh sb="13" eb="15">
      <t>トソウ</t>
    </rPh>
    <phoneticPr fontId="3"/>
  </si>
  <si>
    <t>谷中</t>
    <rPh sb="0" eb="2">
      <t>ヤナカ</t>
    </rPh>
    <phoneticPr fontId="3"/>
  </si>
  <si>
    <t>AB</t>
    <phoneticPr fontId="3"/>
  </si>
  <si>
    <t>AB　銀金具</t>
    <rPh sb="3" eb="6">
      <t>ギンカナグ</t>
    </rPh>
    <phoneticPr fontId="3"/>
  </si>
  <si>
    <t>AB　</t>
    <phoneticPr fontId="3"/>
  </si>
  <si>
    <t>AB　マグネットごまかし</t>
    <phoneticPr fontId="3"/>
  </si>
  <si>
    <t>A　表面擦れ・キー無し</t>
    <rPh sb="2" eb="5">
      <t>ヒョウメンス</t>
    </rPh>
    <rPh sb="9" eb="10">
      <t>ナ</t>
    </rPh>
    <phoneticPr fontId="3"/>
  </si>
  <si>
    <t>A</t>
    <phoneticPr fontId="3"/>
  </si>
  <si>
    <r>
      <t>AB</t>
    </r>
    <r>
      <rPr>
        <sz val="11"/>
        <color rgb="FFFF0000"/>
        <rFont val="ＭＳ ゴシック"/>
        <family val="3"/>
        <charset val="128"/>
      </rPr>
      <t>売切　</t>
    </r>
    <r>
      <rPr>
        <sz val="11"/>
        <color theme="1"/>
        <rFont val="ＭＳ ゴシック"/>
        <family val="3"/>
        <charset val="128"/>
      </rPr>
      <t>ハンドル付け根ごまかし</t>
    </r>
    <rPh sb="2" eb="4">
      <t>ウリキ</t>
    </rPh>
    <rPh sb="9" eb="10">
      <t>ツ</t>
    </rPh>
    <rPh sb="11" eb="12">
      <t>ネ</t>
    </rPh>
    <phoneticPr fontId="3"/>
  </si>
  <si>
    <t>月崎</t>
    <rPh sb="0" eb="2">
      <t>ツキザキ</t>
    </rPh>
    <phoneticPr fontId="3"/>
  </si>
  <si>
    <t>坂巻</t>
    <rPh sb="0" eb="2">
      <t>サカマキ</t>
    </rPh>
    <phoneticPr fontId="3"/>
  </si>
  <si>
    <t>B+　ハンドルコバベタ</t>
    <phoneticPr fontId="3"/>
  </si>
  <si>
    <t>B+　ヌメ革ヤケ 車輪正規修理</t>
    <rPh sb="5" eb="6">
      <t>ガワ</t>
    </rPh>
    <rPh sb="9" eb="15">
      <t>シャリンセイキシュウリ</t>
    </rPh>
    <phoneticPr fontId="3"/>
  </si>
  <si>
    <t>B+　手擦れ　キツイ</t>
    <rPh sb="3" eb="5">
      <t>テス</t>
    </rPh>
    <phoneticPr fontId="3"/>
  </si>
  <si>
    <t>AB　角すれ</t>
    <rPh sb="3" eb="4">
      <t>カド</t>
    </rPh>
    <phoneticPr fontId="3"/>
  </si>
  <si>
    <t>B　パイピング擦れ</t>
    <rPh sb="7" eb="8">
      <t>ス</t>
    </rPh>
    <phoneticPr fontId="3"/>
  </si>
  <si>
    <t>B</t>
    <phoneticPr fontId="3"/>
  </si>
  <si>
    <t>B-5</t>
    <phoneticPr fontId="3"/>
  </si>
  <si>
    <t>宮部</t>
    <rPh sb="0" eb="2">
      <t>ミヤベ</t>
    </rPh>
    <phoneticPr fontId="3"/>
  </si>
  <si>
    <t>AB　サイド革ひび</t>
    <rPh sb="6" eb="7">
      <t>カワ</t>
    </rPh>
    <phoneticPr fontId="3"/>
  </si>
  <si>
    <t>山内</t>
    <rPh sb="0" eb="2">
      <t>ヤマウチ</t>
    </rPh>
    <phoneticPr fontId="3"/>
  </si>
  <si>
    <t>B+</t>
    <phoneticPr fontId="3"/>
  </si>
  <si>
    <t>B＋　角すれ小</t>
    <rPh sb="3" eb="4">
      <t>カド</t>
    </rPh>
    <rPh sb="6" eb="7">
      <t>ショウ</t>
    </rPh>
    <phoneticPr fontId="3"/>
  </si>
  <si>
    <t>AB　ハンドルコバベタ</t>
    <phoneticPr fontId="3"/>
  </si>
  <si>
    <t>佐藤</t>
    <rPh sb="0" eb="2">
      <t>サトウ</t>
    </rPh>
    <phoneticPr fontId="3"/>
  </si>
  <si>
    <t>AB　フチ擦れ</t>
    <rPh sb="5" eb="6">
      <t>ス</t>
    </rPh>
    <phoneticPr fontId="3"/>
  </si>
  <si>
    <t>AB　蓋付け根切れ小</t>
    <rPh sb="3" eb="5">
      <t>フタツ</t>
    </rPh>
    <rPh sb="6" eb="7">
      <t>ネ</t>
    </rPh>
    <rPh sb="7" eb="8">
      <t>キ</t>
    </rPh>
    <rPh sb="9" eb="10">
      <t>ショウ</t>
    </rPh>
    <phoneticPr fontId="3"/>
  </si>
  <si>
    <r>
      <t>B+</t>
    </r>
    <r>
      <rPr>
        <sz val="11"/>
        <color rgb="FFFF0000"/>
        <rFont val="ＭＳ ゴシック"/>
        <family val="3"/>
        <charset val="128"/>
      </rPr>
      <t>売切</t>
    </r>
    <r>
      <rPr>
        <sz val="11"/>
        <color theme="1"/>
        <rFont val="ＭＳ ゴシック"/>
        <family val="3"/>
        <charset val="128"/>
      </rPr>
      <t>　ハンドルひび</t>
    </r>
    <rPh sb="2" eb="4">
      <t>ウリキ</t>
    </rPh>
    <phoneticPr fontId="3"/>
  </si>
  <si>
    <t>AB フチTKB縫い</t>
    <rPh sb="8" eb="9">
      <t>ヌ</t>
    </rPh>
    <phoneticPr fontId="3"/>
  </si>
  <si>
    <t>加藤</t>
    <rPh sb="0" eb="2">
      <t>カトウ</t>
    </rPh>
    <phoneticPr fontId="3"/>
  </si>
  <si>
    <t>AB　チェーンなし</t>
    <phoneticPr fontId="3"/>
  </si>
  <si>
    <r>
      <t>AB</t>
    </r>
    <r>
      <rPr>
        <sz val="11"/>
        <color rgb="FFFF0000"/>
        <rFont val="ＭＳ ゴシック"/>
        <family val="3"/>
        <charset val="128"/>
      </rPr>
      <t>売切</t>
    </r>
    <phoneticPr fontId="3"/>
  </si>
  <si>
    <r>
      <t>B</t>
    </r>
    <r>
      <rPr>
        <sz val="11"/>
        <color rgb="FFFF0000"/>
        <rFont val="ＭＳ ゴシック"/>
        <family val="3"/>
        <charset val="128"/>
      </rPr>
      <t>売切</t>
    </r>
    <rPh sb="1" eb="3">
      <t>ウリキ</t>
    </rPh>
    <phoneticPr fontId="3"/>
  </si>
  <si>
    <t>B　パイピング劣化</t>
    <rPh sb="7" eb="9">
      <t>レッカ</t>
    </rPh>
    <phoneticPr fontId="3"/>
  </si>
  <si>
    <t>B　返品３回　キモイ</t>
    <rPh sb="2" eb="4">
      <t>ヘンピン</t>
    </rPh>
    <rPh sb="5" eb="6">
      <t>カイ</t>
    </rPh>
    <phoneticPr fontId="3"/>
  </si>
  <si>
    <t>B　R切れ込み無し</t>
    <rPh sb="3" eb="4">
      <t>キ</t>
    </rPh>
    <rPh sb="5" eb="6">
      <t>コ</t>
    </rPh>
    <rPh sb="7" eb="8">
      <t>ナ</t>
    </rPh>
    <phoneticPr fontId="3"/>
  </si>
  <si>
    <t>B+　黒</t>
    <rPh sb="3" eb="4">
      <t>クロ</t>
    </rPh>
    <phoneticPr fontId="3"/>
  </si>
  <si>
    <t>B+　ベージュ</t>
    <phoneticPr fontId="3"/>
  </si>
  <si>
    <t>AB　ケモノ</t>
    <phoneticPr fontId="3"/>
  </si>
  <si>
    <t>檀</t>
    <rPh sb="0" eb="1">
      <t>ダン</t>
    </rPh>
    <phoneticPr fontId="3"/>
  </si>
  <si>
    <t>B　角すれ　中型</t>
    <rPh sb="2" eb="3">
      <t>カド</t>
    </rPh>
    <rPh sb="6" eb="8">
      <t>チュウガタ</t>
    </rPh>
    <phoneticPr fontId="3"/>
  </si>
  <si>
    <t>B　小型</t>
    <rPh sb="2" eb="4">
      <t>コガタ</t>
    </rPh>
    <phoneticPr fontId="3"/>
  </si>
  <si>
    <t>B　小型　タグ噛み跡</t>
    <rPh sb="2" eb="4">
      <t>コガタ</t>
    </rPh>
    <rPh sb="7" eb="8">
      <t>カ</t>
    </rPh>
    <rPh sb="9" eb="10">
      <t>アト</t>
    </rPh>
    <phoneticPr fontId="3"/>
  </si>
  <si>
    <r>
      <t>B</t>
    </r>
    <r>
      <rPr>
        <sz val="11"/>
        <color rgb="FFFF0000"/>
        <rFont val="ＭＳ ゴシック"/>
        <family val="3"/>
        <charset val="128"/>
      </rPr>
      <t>売切</t>
    </r>
    <r>
      <rPr>
        <sz val="11"/>
        <color theme="1"/>
        <rFont val="ＭＳ ゴシック"/>
        <family val="3"/>
        <charset val="128"/>
      </rPr>
      <t>　金具溶接</t>
    </r>
    <rPh sb="1" eb="3">
      <t>ウリキ</t>
    </rPh>
    <rPh sb="4" eb="6">
      <t>カナグ</t>
    </rPh>
    <rPh sb="6" eb="8">
      <t>ヨウセツ</t>
    </rPh>
    <phoneticPr fontId="3"/>
  </si>
  <si>
    <t>B　刻印あやしめ</t>
    <rPh sb="2" eb="4">
      <t>コクイン</t>
    </rPh>
    <phoneticPr fontId="3"/>
  </si>
  <si>
    <t>B　刻印彫り切れてない</t>
    <rPh sb="2" eb="4">
      <t>コクイン</t>
    </rPh>
    <rPh sb="4" eb="5">
      <t>ホ</t>
    </rPh>
    <rPh sb="6" eb="7">
      <t>キ</t>
    </rPh>
    <phoneticPr fontId="3"/>
  </si>
  <si>
    <t>B　刻印無し</t>
    <rPh sb="2" eb="5">
      <t>コクインナ</t>
    </rPh>
    <phoneticPr fontId="3"/>
  </si>
  <si>
    <t>HERMES</t>
  </si>
  <si>
    <t>ケリー28クシュベル　〇L刻</t>
    <rPh sb="13" eb="14">
      <t>コク</t>
    </rPh>
    <phoneticPr fontId="3"/>
  </si>
  <si>
    <t>ストラップ・クロシェット・保存袋</t>
  </si>
  <si>
    <t>サックアデペッシュ38　トリヨンクレマンス　□M刻</t>
    <rPh sb="24" eb="25">
      <t>コク</t>
    </rPh>
    <phoneticPr fontId="3"/>
  </si>
  <si>
    <t>クロシェット</t>
  </si>
  <si>
    <t>CHANEL</t>
  </si>
  <si>
    <t>デカマトラッセ　Wチェーンショルダー　ラムスキン</t>
  </si>
  <si>
    <t>シール</t>
  </si>
  <si>
    <t>復刻トート　キャビアスキン</t>
    <rPh sb="0" eb="2">
      <t>フッコク</t>
    </rPh>
    <phoneticPr fontId="3"/>
  </si>
  <si>
    <t>キャビアスキン　バニティバッグ</t>
  </si>
  <si>
    <t>シール・ストラップ・鍵・クロシェット</t>
    <rPh sb="10" eb="11">
      <t>カギ</t>
    </rPh>
    <phoneticPr fontId="3"/>
  </si>
  <si>
    <t>Dior</t>
  </si>
  <si>
    <t>ボビー　イースト　ウェストバッグ</t>
  </si>
  <si>
    <t>CELINE</t>
  </si>
  <si>
    <t>セーズ16　ハンドバッグ</t>
  </si>
  <si>
    <t>鍵・保存袋・ストラップ</t>
    <rPh sb="0" eb="1">
      <t>カギ</t>
    </rPh>
    <rPh sb="2" eb="5">
      <t>ホゾンフクロ</t>
    </rPh>
    <phoneticPr fontId="3"/>
  </si>
  <si>
    <t>マカダム　2wayボストンバッグ</t>
  </si>
  <si>
    <t>ストラップ</t>
  </si>
  <si>
    <t>チビナイル</t>
  </si>
  <si>
    <t>マット　クロコダイル2wayバッグ</t>
  </si>
  <si>
    <t>ストラップ・チャーム・保存袋</t>
    <rPh sb="11" eb="14">
      <t>ホゾンフクロ</t>
    </rPh>
    <phoneticPr fontId="3"/>
  </si>
  <si>
    <t>Louis Vuitton</t>
  </si>
  <si>
    <t>クリスチャンルブタンコラボ アイコノクラスト</t>
  </si>
  <si>
    <t>ぺガス50</t>
  </si>
  <si>
    <t>モノグラムエクリプス　ポルトドキュマンヴォワージュ</t>
  </si>
  <si>
    <t>ストラップ・鍵</t>
    <rPh sb="6" eb="7">
      <t>カギ</t>
    </rPh>
    <phoneticPr fontId="3"/>
  </si>
  <si>
    <t>ダミエ キーポルバンドリエール55</t>
  </si>
  <si>
    <t>マカサー　ドレイク</t>
  </si>
  <si>
    <t>ストラップ・保存袋</t>
    <rPh sb="6" eb="8">
      <t>ホゾン</t>
    </rPh>
    <rPh sb="8" eb="9">
      <t>フクロ</t>
    </rPh>
    <phoneticPr fontId="3"/>
  </si>
  <si>
    <t>ﾀﾞﾐｴｱｽﾞｰﾙ　ポシェットフェリシー</t>
  </si>
  <si>
    <t>ポーチ×２・チェーンストラップ</t>
  </si>
  <si>
    <t>ダミエ　エヴァ</t>
  </si>
  <si>
    <t>ストラップ×2</t>
  </si>
  <si>
    <t>ポシェットアクセソワール　グラフティ</t>
  </si>
  <si>
    <t>ヴァティニョール　オリゾンタル</t>
  </si>
  <si>
    <t>シティスティーマーMM</t>
  </si>
  <si>
    <t>ストラップ・ネームタグ</t>
  </si>
  <si>
    <t>パラス</t>
  </si>
  <si>
    <t>ソローニュ</t>
  </si>
  <si>
    <t>ダミエ　ソローニュ</t>
  </si>
  <si>
    <t>ヴィヴァシテPM</t>
  </si>
  <si>
    <t>キーポル60</t>
  </si>
  <si>
    <t>ダミエ　クリフトン</t>
  </si>
  <si>
    <t>ポーチ</t>
  </si>
  <si>
    <t>バゲットPM</t>
  </si>
  <si>
    <t>ダミエ　グラフィット　アンブレール</t>
  </si>
  <si>
    <t>セリエドラゴンヌ</t>
  </si>
  <si>
    <t>FENDI</t>
  </si>
  <si>
    <t>クッキー　ホーボー　バッグ</t>
  </si>
  <si>
    <t>ズッカ　ハンドバッグ</t>
  </si>
  <si>
    <t>カルトシエール</t>
  </si>
  <si>
    <t>PRADA</t>
  </si>
  <si>
    <t>ナイロン　ボストンバッグ</t>
  </si>
  <si>
    <t>ナイロンハンド</t>
  </si>
  <si>
    <t>Cartier</t>
  </si>
  <si>
    <t>フェミニン　チェーンショルダー</t>
  </si>
  <si>
    <t>エルベシャプリエ</t>
  </si>
  <si>
    <t>レザー　舟形トート</t>
    <rPh sb="4" eb="6">
      <t>フナガタ</t>
    </rPh>
    <phoneticPr fontId="3"/>
  </si>
  <si>
    <t>acnestudios</t>
  </si>
  <si>
    <t>2wayバッグ</t>
  </si>
  <si>
    <t>VASIC</t>
  </si>
  <si>
    <t>ショルダーバッグ</t>
  </si>
  <si>
    <t>ココマーク　ネックレス</t>
  </si>
  <si>
    <t>箱　豆あり</t>
    <rPh sb="0" eb="1">
      <t>ハコ</t>
    </rPh>
    <rPh sb="2" eb="3">
      <t>マメ</t>
    </rPh>
    <phoneticPr fontId="3"/>
  </si>
  <si>
    <t>ココマークブローチ</t>
  </si>
  <si>
    <t>豆あり</t>
    <rPh sb="0" eb="1">
      <t>マメ</t>
    </rPh>
    <phoneticPr fontId="3"/>
  </si>
  <si>
    <t>ココマーク　チェーンベルト</t>
  </si>
  <si>
    <t>TIFFANY</t>
  </si>
  <si>
    <t>ショルダーストラップ</t>
  </si>
  <si>
    <t>GIVENCHY</t>
  </si>
  <si>
    <t>イヤリング</t>
  </si>
  <si>
    <t>A-1</t>
  </si>
  <si>
    <t>B-1</t>
  </si>
  <si>
    <t>B-5</t>
  </si>
  <si>
    <t>C-1</t>
  </si>
  <si>
    <t>C-5</t>
  </si>
  <si>
    <t>D-1</t>
  </si>
  <si>
    <t>ロットNo</t>
  </si>
  <si>
    <t>バイヤー</t>
  </si>
  <si>
    <t>キャンペーン</t>
    <phoneticPr fontId="3"/>
  </si>
  <si>
    <t>〇</t>
    <phoneticPr fontId="3"/>
  </si>
  <si>
    <t>不落札</t>
    <rPh sb="0" eb="3">
      <t>フラクサツ</t>
    </rPh>
    <phoneticPr fontId="3"/>
  </si>
  <si>
    <t>取り消し</t>
    <rPh sb="0" eb="1">
      <t>ト</t>
    </rPh>
    <rPh sb="2" eb="3">
      <t>ケ</t>
    </rPh>
    <phoneticPr fontId="3"/>
  </si>
  <si>
    <t>これを足す</t>
    <rPh sb="3" eb="4">
      <t>タ</t>
    </rPh>
    <phoneticPr fontId="3"/>
  </si>
  <si>
    <t>↑</t>
    <phoneticPr fontId="3"/>
  </si>
  <si>
    <t>F-1</t>
    <phoneticPr fontId="3"/>
  </si>
  <si>
    <t>F-2</t>
  </si>
  <si>
    <t>F-3</t>
  </si>
  <si>
    <t>F-4</t>
  </si>
  <si>
    <t>F-5</t>
  </si>
  <si>
    <t>F-6</t>
  </si>
  <si>
    <t>F-7</t>
  </si>
  <si>
    <t>F-8</t>
  </si>
  <si>
    <t>F-9</t>
  </si>
  <si>
    <t>HERMES</t>
    <phoneticPr fontId="3"/>
  </si>
  <si>
    <t>ホワイトバスGM</t>
    <phoneticPr fontId="3"/>
  </si>
  <si>
    <t>□G刻</t>
    <rPh sb="2" eb="3">
      <t>コク</t>
    </rPh>
    <phoneticPr fontId="3"/>
  </si>
  <si>
    <t>谷中</t>
    <rPh sb="0" eb="2">
      <t>ヤナカ</t>
    </rPh>
    <phoneticPr fontId="3"/>
  </si>
  <si>
    <t>CHANEL</t>
    <phoneticPr fontId="3"/>
  </si>
  <si>
    <t>ビコローレ　ココマーク　スーパーモデル</t>
    <phoneticPr fontId="3"/>
  </si>
  <si>
    <t>シリアルシール</t>
    <phoneticPr fontId="3"/>
  </si>
  <si>
    <t>高橋</t>
    <rPh sb="0" eb="2">
      <t>タカハシ</t>
    </rPh>
    <phoneticPr fontId="3"/>
  </si>
  <si>
    <t>復刻トート　金金具</t>
    <rPh sb="0" eb="2">
      <t>フッコク</t>
    </rPh>
    <rPh sb="6" eb="9">
      <t>キンカナグ</t>
    </rPh>
    <phoneticPr fontId="3"/>
  </si>
  <si>
    <t>AB内ポケサイドTKB</t>
    <rPh sb="2" eb="3">
      <t>ウチ</t>
    </rPh>
    <phoneticPr fontId="3"/>
  </si>
  <si>
    <t>A</t>
    <phoneticPr fontId="3"/>
  </si>
  <si>
    <t>B+メダル・ハンドルTKB</t>
    <phoneticPr fontId="3"/>
  </si>
  <si>
    <t>ワイルドステッチ　ボストンバッグ</t>
    <phoneticPr fontId="3"/>
  </si>
  <si>
    <t>シリアルシール・Gカード</t>
    <phoneticPr fontId="3"/>
  </si>
  <si>
    <t>相田</t>
    <rPh sb="0" eb="2">
      <t>ソウダ</t>
    </rPh>
    <phoneticPr fontId="3"/>
  </si>
  <si>
    <t>再販</t>
    <rPh sb="0" eb="2">
      <t>サイハン</t>
    </rPh>
    <phoneticPr fontId="3"/>
  </si>
  <si>
    <t>B+角すれ　豊橋引き</t>
    <rPh sb="2" eb="3">
      <t>カド</t>
    </rPh>
    <rPh sb="6" eb="8">
      <t>トヨハシ</t>
    </rPh>
    <rPh sb="8" eb="9">
      <t>ヒ</t>
    </rPh>
    <phoneticPr fontId="3"/>
  </si>
  <si>
    <t>ドーヴィルGM</t>
    <phoneticPr fontId="3"/>
  </si>
  <si>
    <t>B　角すれ</t>
    <rPh sb="2" eb="3">
      <t>カド</t>
    </rPh>
    <phoneticPr fontId="3"/>
  </si>
  <si>
    <t>笹生</t>
    <rPh sb="0" eb="2">
      <t>サソウ</t>
    </rPh>
    <phoneticPr fontId="3"/>
  </si>
  <si>
    <t>檀</t>
    <rPh sb="0" eb="1">
      <t>ダン</t>
    </rPh>
    <phoneticPr fontId="3"/>
  </si>
  <si>
    <t>GianniVersace</t>
    <phoneticPr fontId="3"/>
  </si>
  <si>
    <t>チェーンショルダーバッグ</t>
    <phoneticPr fontId="3"/>
  </si>
  <si>
    <t>B　ケモノ　正面傷</t>
    <rPh sb="6" eb="9">
      <t>ショウメンキズ</t>
    </rPh>
    <phoneticPr fontId="3"/>
  </si>
  <si>
    <t>Louis vuitton</t>
    <phoneticPr fontId="3"/>
  </si>
  <si>
    <t>ネヴァーフルGM</t>
    <phoneticPr fontId="3"/>
  </si>
  <si>
    <t>ポーチ・箱・保存袋</t>
    <rPh sb="4" eb="5">
      <t>ハコ</t>
    </rPh>
    <rPh sb="6" eb="9">
      <t>ホゾンフクロ</t>
    </rPh>
    <phoneticPr fontId="3"/>
  </si>
  <si>
    <t>アンプラント オンザゴーGM</t>
    <phoneticPr fontId="3"/>
  </si>
  <si>
    <t>RFID</t>
    <phoneticPr fontId="3"/>
  </si>
  <si>
    <t>B+　角すれ</t>
    <rPh sb="3" eb="4">
      <t>カド</t>
    </rPh>
    <phoneticPr fontId="3"/>
  </si>
  <si>
    <t>ソミュール35</t>
    <phoneticPr fontId="3"/>
  </si>
  <si>
    <t>B+　PVCキレイ　ヌメ革ヒビ</t>
    <rPh sb="12" eb="13">
      <t>ガワ</t>
    </rPh>
    <phoneticPr fontId="3"/>
  </si>
  <si>
    <t>佐藤</t>
    <rPh sb="0" eb="2">
      <t>サトウ</t>
    </rPh>
    <phoneticPr fontId="3"/>
  </si>
  <si>
    <t>ソローニュ</t>
    <phoneticPr fontId="3"/>
  </si>
  <si>
    <t>B+　かぶせ根キレ</t>
    <rPh sb="6" eb="7">
      <t>ネ</t>
    </rPh>
    <phoneticPr fontId="3"/>
  </si>
  <si>
    <t>ベガス55</t>
    <phoneticPr fontId="3"/>
  </si>
  <si>
    <t>B　穴・TKBサイドはがし・車輪割れ</t>
    <rPh sb="2" eb="3">
      <t>アナ</t>
    </rPh>
    <rPh sb="14" eb="17">
      <t>シャリンワ</t>
    </rPh>
    <phoneticPr fontId="3"/>
  </si>
  <si>
    <t>PRADA</t>
    <phoneticPr fontId="3"/>
  </si>
  <si>
    <t>キャリーバッグ</t>
    <phoneticPr fontId="3"/>
  </si>
  <si>
    <t>鍵・クロシェット</t>
    <rPh sb="0" eb="1">
      <t>カギ</t>
    </rPh>
    <phoneticPr fontId="3"/>
  </si>
  <si>
    <t>AB　白タグ見つからず</t>
    <rPh sb="3" eb="4">
      <t>シロ</t>
    </rPh>
    <rPh sb="6" eb="7">
      <t>ミ</t>
    </rPh>
    <phoneticPr fontId="3"/>
  </si>
  <si>
    <t>エシャルプ　レイキャビク</t>
    <phoneticPr fontId="3"/>
  </si>
  <si>
    <t>箱</t>
    <rPh sb="0" eb="1">
      <t>ハコ</t>
    </rPh>
    <phoneticPr fontId="3"/>
  </si>
  <si>
    <t>B+　フチ社外縫い？　物？</t>
    <rPh sb="5" eb="7">
      <t>シャガイ</t>
    </rPh>
    <rPh sb="7" eb="8">
      <t>ヌ</t>
    </rPh>
    <rPh sb="11" eb="12">
      <t>モノ</t>
    </rPh>
    <phoneticPr fontId="3"/>
  </si>
  <si>
    <t>成立金額</t>
  </si>
  <si>
    <t>販売手数料</t>
  </si>
  <si>
    <t>キャンペーンキャッシュバック</t>
  </si>
  <si>
    <t>出品者備考</t>
  </si>
  <si>
    <t>セリ結果</t>
  </si>
  <si>
    <t>返品</t>
    <rPh sb="0" eb="2">
      <t>ヘンピン</t>
    </rPh>
    <phoneticPr fontId="3"/>
  </si>
  <si>
    <t>税込み</t>
    <rPh sb="0" eb="2">
      <t>ゼイコ</t>
    </rPh>
    <phoneticPr fontId="3"/>
  </si>
  <si>
    <t>手数料税込み</t>
    <rPh sb="0" eb="3">
      <t>テスウリョウ</t>
    </rPh>
    <rPh sb="3" eb="5">
      <t>ゼイコ</t>
    </rPh>
    <phoneticPr fontId="3"/>
  </si>
  <si>
    <t>粗利</t>
    <rPh sb="0" eb="2">
      <t>アラリ</t>
    </rPh>
    <phoneticPr fontId="3"/>
  </si>
  <si>
    <t>D-1</t>
    <phoneticPr fontId="3"/>
  </si>
  <si>
    <t>バイヤー２</t>
    <phoneticPr fontId="3"/>
  </si>
  <si>
    <t>A-1</t>
    <phoneticPr fontId="3"/>
  </si>
  <si>
    <t>B-1</t>
    <phoneticPr fontId="3"/>
  </si>
  <si>
    <t>C-1</t>
    <phoneticPr fontId="3"/>
  </si>
  <si>
    <t>E-1</t>
    <phoneticPr fontId="3"/>
  </si>
  <si>
    <t>F-10</t>
  </si>
  <si>
    <t>G-1</t>
    <phoneticPr fontId="3"/>
  </si>
  <si>
    <t>H-1</t>
    <phoneticPr fontId="3"/>
  </si>
  <si>
    <t>H-2</t>
  </si>
  <si>
    <t>H-3</t>
  </si>
  <si>
    <t>H-4</t>
  </si>
  <si>
    <t>H-5</t>
  </si>
  <si>
    <t>H-6</t>
  </si>
  <si>
    <t>H-7</t>
  </si>
  <si>
    <t>H-8</t>
  </si>
  <si>
    <t>H-9</t>
  </si>
  <si>
    <t>H-10</t>
  </si>
  <si>
    <t>I-1</t>
    <phoneticPr fontId="3"/>
  </si>
  <si>
    <t>I-2</t>
  </si>
  <si>
    <t>I-3</t>
  </si>
  <si>
    <t>I-4</t>
  </si>
  <si>
    <t>I-5</t>
  </si>
  <si>
    <t>I-6</t>
  </si>
  <si>
    <t>I-7</t>
  </si>
  <si>
    <t>I-8</t>
  </si>
  <si>
    <t>I-9</t>
  </si>
  <si>
    <t>I-10</t>
  </si>
  <si>
    <t>J-1</t>
    <phoneticPr fontId="3"/>
  </si>
  <si>
    <t>J-2</t>
  </si>
  <si>
    <t>J-3</t>
  </si>
  <si>
    <t>J-4</t>
  </si>
  <si>
    <t>J-5</t>
  </si>
  <si>
    <t>J-6</t>
  </si>
  <si>
    <t>J-7</t>
  </si>
  <si>
    <t>J-8</t>
  </si>
  <si>
    <t>J-9</t>
  </si>
  <si>
    <t>J-10</t>
  </si>
  <si>
    <t>K-1</t>
    <phoneticPr fontId="3"/>
  </si>
  <si>
    <t>K-2</t>
  </si>
  <si>
    <t>K-3</t>
  </si>
  <si>
    <t>K-4</t>
  </si>
  <si>
    <t>K-5</t>
  </si>
  <si>
    <t>K-6</t>
  </si>
  <si>
    <t>K-7</t>
  </si>
  <si>
    <t>K-8</t>
  </si>
  <si>
    <t>K-9</t>
  </si>
  <si>
    <t>K-10</t>
  </si>
  <si>
    <t>L-1</t>
    <phoneticPr fontId="3"/>
  </si>
  <si>
    <t>L-2</t>
  </si>
  <si>
    <t>L-3</t>
  </si>
  <si>
    <t>L-4</t>
  </si>
  <si>
    <t>L-5</t>
  </si>
  <si>
    <t>L-6</t>
  </si>
  <si>
    <t>L-7</t>
  </si>
  <si>
    <t>L-8</t>
  </si>
  <si>
    <t>L-9</t>
  </si>
  <si>
    <t>L-10</t>
  </si>
  <si>
    <t>M-1</t>
    <phoneticPr fontId="3"/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</si>
  <si>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</si>
  <si>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</si>
  <si>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</si>
  <si>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</si>
  <si>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</si>
  <si>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</si>
  <si>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</si>
  <si>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</si>
  <si>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</si>
  <si>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N-1</t>
    <phoneticPr fontId="3"/>
  </si>
  <si>
    <t>N-2</t>
  </si>
  <si>
    <t>N-3</t>
  </si>
  <si>
    <t>N-4</t>
  </si>
  <si>
    <t>N-5</t>
  </si>
  <si>
    <t>N-6</t>
  </si>
  <si>
    <t>N-7</t>
  </si>
  <si>
    <t>N-8</t>
  </si>
  <si>
    <t>N-9</t>
  </si>
  <si>
    <t>N-10</t>
  </si>
  <si>
    <t>エルメス</t>
    <phoneticPr fontId="3"/>
  </si>
  <si>
    <t>バーキン35</t>
    <phoneticPr fontId="3"/>
  </si>
  <si>
    <t>カデナ・クロシェット　〇Y刻印</t>
    <phoneticPr fontId="3"/>
  </si>
  <si>
    <t>トリム35　ヴィブラート</t>
    <phoneticPr fontId="3"/>
  </si>
  <si>
    <t>□G刻印　保存袋</t>
    <rPh sb="2" eb="4">
      <t>コクイン</t>
    </rPh>
    <rPh sb="5" eb="7">
      <t>ホゾン</t>
    </rPh>
    <rPh sb="7" eb="8">
      <t>フクロ</t>
    </rPh>
    <phoneticPr fontId="3"/>
  </si>
  <si>
    <t>カバック　エランPM　キャンバス</t>
    <phoneticPr fontId="3"/>
  </si>
  <si>
    <t>□P刻印　</t>
    <rPh sb="2" eb="4">
      <t>コクイン</t>
    </rPh>
    <phoneticPr fontId="3"/>
  </si>
  <si>
    <t>B　★マーク有</t>
    <rPh sb="6" eb="7">
      <t>アリ</t>
    </rPh>
    <phoneticPr fontId="3"/>
  </si>
  <si>
    <t>エールラインMM</t>
    <phoneticPr fontId="3"/>
  </si>
  <si>
    <t>カデナ</t>
    <phoneticPr fontId="3"/>
  </si>
  <si>
    <t>シャネル</t>
    <phoneticPr fontId="3"/>
  </si>
  <si>
    <t>ミニマトラッセ　ラムスキン　チェーンバッグ</t>
    <phoneticPr fontId="3"/>
  </si>
  <si>
    <t>シール・</t>
    <phoneticPr fontId="3"/>
  </si>
  <si>
    <t>南川</t>
    <rPh sb="0" eb="2">
      <t>ミナミカワ</t>
    </rPh>
    <phoneticPr fontId="3"/>
  </si>
  <si>
    <t>マトラッセ　ラムスキン　チェーンバッグ</t>
  </si>
  <si>
    <t>シール・Gカード</t>
    <phoneticPr fontId="3"/>
  </si>
  <si>
    <t>B　豊橋134000入札</t>
    <rPh sb="2" eb="4">
      <t>トヨハシ</t>
    </rPh>
    <rPh sb="10" eb="12">
      <t>ニュウサツ</t>
    </rPh>
    <phoneticPr fontId="3"/>
  </si>
  <si>
    <t>ヴェルサーチ</t>
    <phoneticPr fontId="3"/>
  </si>
  <si>
    <t>フェンダーチェ　キャンバストート</t>
    <phoneticPr fontId="3"/>
  </si>
  <si>
    <t>保存袋</t>
    <rPh sb="0" eb="3">
      <t>ホゾンフクロ</t>
    </rPh>
    <phoneticPr fontId="3"/>
  </si>
  <si>
    <t>Lv</t>
    <phoneticPr fontId="3"/>
  </si>
  <si>
    <t>モノグラムプリズム　クリストファーGMリュックサック</t>
    <phoneticPr fontId="3"/>
  </si>
  <si>
    <t>B　剥がれ・浮き</t>
    <rPh sb="2" eb="3">
      <t>ハ</t>
    </rPh>
    <rPh sb="6" eb="7">
      <t>ウ</t>
    </rPh>
    <phoneticPr fontId="3"/>
  </si>
  <si>
    <t>エールバッグPM　ヴィブラート</t>
    <phoneticPr fontId="3"/>
  </si>
  <si>
    <t>□F刻印　替えバッグ２・スト・ハンドル・カデナ・保存袋</t>
    <rPh sb="2" eb="4">
      <t>コクイン</t>
    </rPh>
    <rPh sb="5" eb="6">
      <t>カ</t>
    </rPh>
    <rPh sb="24" eb="27">
      <t>ホゾンフクロ</t>
    </rPh>
    <phoneticPr fontId="3"/>
  </si>
  <si>
    <t>プティット・マル　ショルダーバッグ</t>
    <phoneticPr fontId="3"/>
  </si>
  <si>
    <t>ストラップ</t>
    <phoneticPr fontId="3"/>
  </si>
  <si>
    <t>プティット・ボワット・シャポー</t>
    <phoneticPr fontId="3"/>
  </si>
  <si>
    <t>RFID・ネームタグ</t>
    <phoneticPr fontId="3"/>
  </si>
  <si>
    <t>B　打痕</t>
    <rPh sb="2" eb="4">
      <t>ダコン</t>
    </rPh>
    <phoneticPr fontId="3"/>
  </si>
  <si>
    <t>エピ　ブリーカーボックス</t>
    <phoneticPr fontId="3"/>
  </si>
  <si>
    <t>クロシェット</t>
    <phoneticPr fontId="3"/>
  </si>
  <si>
    <t>クラフティ　ボワット・シャポー　スープル</t>
    <phoneticPr fontId="3"/>
  </si>
  <si>
    <t>エピ　ツイストMM　チェーンショルダー</t>
    <phoneticPr fontId="3"/>
  </si>
  <si>
    <t>エピ　ネオノエBB　</t>
    <phoneticPr fontId="3"/>
  </si>
  <si>
    <t>ショルダー２</t>
    <phoneticPr fontId="3"/>
  </si>
  <si>
    <t>売切</t>
    <rPh sb="0" eb="2">
      <t>ウリキ</t>
    </rPh>
    <phoneticPr fontId="3"/>
  </si>
  <si>
    <t>ボワット　シャポースプール</t>
    <phoneticPr fontId="3"/>
  </si>
  <si>
    <t>カギ・パドロック・RFID</t>
    <phoneticPr fontId="3"/>
  </si>
  <si>
    <t>ポーチ・ハンドル２</t>
    <phoneticPr fontId="3"/>
  </si>
  <si>
    <t>マレルNM</t>
    <phoneticPr fontId="3"/>
  </si>
  <si>
    <t>ペルフォ・スピーディ30</t>
    <phoneticPr fontId="3"/>
  </si>
  <si>
    <t>アンプラント・モンスリMM</t>
    <phoneticPr fontId="3"/>
  </si>
  <si>
    <t>チャーム　RFID</t>
    <phoneticPr fontId="3"/>
  </si>
  <si>
    <t>キーポル50　モノグラムグラフティ</t>
    <phoneticPr fontId="3"/>
  </si>
  <si>
    <t>ブルガリ</t>
    <phoneticPr fontId="3"/>
  </si>
  <si>
    <t>セルペンティ2wayバッグ</t>
    <phoneticPr fontId="3"/>
  </si>
  <si>
    <t>ミラー・Gカードチェーン・保存袋</t>
    <rPh sb="13" eb="15">
      <t>ホゾン</t>
    </rPh>
    <rPh sb="15" eb="16">
      <t>フクロ</t>
    </rPh>
    <phoneticPr fontId="3"/>
  </si>
  <si>
    <t>バレンシアガ</t>
    <phoneticPr fontId="3"/>
  </si>
  <si>
    <t>ジャイアント・シティ</t>
    <phoneticPr fontId="3"/>
  </si>
  <si>
    <t>ショルダー・ミラー</t>
    <phoneticPr fontId="3"/>
  </si>
  <si>
    <t>ショルダー</t>
    <phoneticPr fontId="3"/>
  </si>
  <si>
    <t>クロエ</t>
    <phoneticPr fontId="3"/>
  </si>
  <si>
    <t>パディントン</t>
    <phoneticPr fontId="3"/>
  </si>
  <si>
    <t>カギ</t>
    <phoneticPr fontId="3"/>
  </si>
  <si>
    <t>グッチ</t>
    <phoneticPr fontId="3"/>
  </si>
  <si>
    <t>GGスプリーム　バンブー　ボディバッグ</t>
    <phoneticPr fontId="3"/>
  </si>
  <si>
    <t>ベルト</t>
    <phoneticPr fontId="3"/>
  </si>
  <si>
    <t>A+</t>
    <phoneticPr fontId="3"/>
  </si>
  <si>
    <t>ウェストバッグ　100周年</t>
    <rPh sb="11" eb="13">
      <t>シュウネン</t>
    </rPh>
    <phoneticPr fontId="3"/>
  </si>
  <si>
    <t>キャビアスキン　マトラッセ　チェーンショルダー</t>
    <phoneticPr fontId="3"/>
  </si>
  <si>
    <t>ヴィバシテGM</t>
    <phoneticPr fontId="3"/>
  </si>
  <si>
    <t>ウィルシャーPM</t>
    <phoneticPr fontId="3"/>
  </si>
  <si>
    <t>ビバリーMM</t>
    <phoneticPr fontId="3"/>
  </si>
  <si>
    <t>ダミエ　ナイツブリッジ</t>
    <phoneticPr fontId="3"/>
  </si>
  <si>
    <t>ダミエアズールキーポルバンドリエール55</t>
    <phoneticPr fontId="3"/>
  </si>
  <si>
    <t>マヒナ　バビロン</t>
    <phoneticPr fontId="3"/>
  </si>
  <si>
    <t>B　TKBプル</t>
    <phoneticPr fontId="3"/>
  </si>
  <si>
    <t>アンプラント　メティス</t>
    <phoneticPr fontId="3"/>
  </si>
  <si>
    <t>ショルダー・ハンドルB</t>
    <phoneticPr fontId="3"/>
  </si>
  <si>
    <t>アンプラント　モンテーニュBB</t>
    <phoneticPr fontId="3"/>
  </si>
  <si>
    <t>ショルダー・カギ・パドロック</t>
    <phoneticPr fontId="3"/>
  </si>
  <si>
    <t>マピヨン</t>
    <phoneticPr fontId="3"/>
  </si>
  <si>
    <t>クロワッサンMM</t>
    <phoneticPr fontId="3"/>
  </si>
  <si>
    <t>ダミエ　ミュゼットサルサ　ロングスト</t>
    <phoneticPr fontId="3"/>
  </si>
  <si>
    <t>マリニャンコクリコ</t>
    <phoneticPr fontId="3"/>
  </si>
  <si>
    <t>B　ニオイ</t>
    <phoneticPr fontId="3"/>
  </si>
  <si>
    <t>プティ・パレ</t>
    <phoneticPr fontId="3"/>
  </si>
  <si>
    <t>カギ・ネームタグ・RFID</t>
    <phoneticPr fontId="3"/>
  </si>
  <si>
    <t>アンプラント　スポンティーニ</t>
    <phoneticPr fontId="3"/>
  </si>
  <si>
    <t>バムバッグ・エクリプス</t>
    <phoneticPr fontId="3"/>
  </si>
  <si>
    <t>ブルームズベリ</t>
    <phoneticPr fontId="3"/>
  </si>
  <si>
    <t>ノルマンディ</t>
    <phoneticPr fontId="3"/>
  </si>
  <si>
    <t>タンブラン</t>
    <phoneticPr fontId="3"/>
  </si>
  <si>
    <t>スピーディ40</t>
    <phoneticPr fontId="3"/>
  </si>
  <si>
    <t>スピーディ25</t>
    <phoneticPr fontId="3"/>
  </si>
  <si>
    <t>AB　ごまかしビス</t>
    <phoneticPr fontId="3"/>
  </si>
  <si>
    <t>ミニノエ</t>
    <phoneticPr fontId="3"/>
  </si>
  <si>
    <t>B　ひもなし</t>
    <phoneticPr fontId="3"/>
  </si>
  <si>
    <t>ダミエ　エヴァ</t>
    <phoneticPr fontId="3"/>
  </si>
  <si>
    <t>チェーン・ショルダー</t>
    <phoneticPr fontId="3"/>
  </si>
  <si>
    <t>ポシェットアクセソワール</t>
    <phoneticPr fontId="3"/>
  </si>
  <si>
    <t>スト</t>
    <phoneticPr fontId="3"/>
  </si>
  <si>
    <t>B+　国タグ違う</t>
    <rPh sb="3" eb="4">
      <t>クニ</t>
    </rPh>
    <rPh sb="6" eb="7">
      <t>チガ</t>
    </rPh>
    <phoneticPr fontId="3"/>
  </si>
  <si>
    <t>ダミエ　サックプラ</t>
    <phoneticPr fontId="3"/>
  </si>
  <si>
    <t>ダミエ　サリア</t>
    <phoneticPr fontId="3"/>
  </si>
  <si>
    <t>エクスサンリ・シテ</t>
    <phoneticPr fontId="3"/>
  </si>
  <si>
    <t>ルーピングMM</t>
    <phoneticPr fontId="3"/>
  </si>
  <si>
    <t>ダミエ　ブレラ</t>
    <phoneticPr fontId="3"/>
  </si>
  <si>
    <t>アマゾン</t>
    <phoneticPr fontId="3"/>
  </si>
  <si>
    <t>パピヨン</t>
    <phoneticPr fontId="3"/>
  </si>
  <si>
    <t>トータリーPM</t>
    <phoneticPr fontId="3"/>
  </si>
  <si>
    <t>トロター</t>
    <phoneticPr fontId="3"/>
  </si>
  <si>
    <t>ヴィバシテPM</t>
    <phoneticPr fontId="3"/>
  </si>
  <si>
    <t>ドーヴィル</t>
    <phoneticPr fontId="3"/>
  </si>
  <si>
    <t>アルマ</t>
    <phoneticPr fontId="3"/>
  </si>
  <si>
    <t>ダミエ　ヴェローナ</t>
    <phoneticPr fontId="3"/>
  </si>
  <si>
    <t>B+　蓋キレなし</t>
    <rPh sb="3" eb="4">
      <t>フタ</t>
    </rPh>
    <phoneticPr fontId="3"/>
  </si>
  <si>
    <t>エピ　ノエ</t>
    <phoneticPr fontId="3"/>
  </si>
  <si>
    <t>ポシェットフロランティーヌ</t>
    <phoneticPr fontId="3"/>
  </si>
  <si>
    <t>アベス</t>
    <phoneticPr fontId="3"/>
  </si>
  <si>
    <t>キーポル50</t>
    <phoneticPr fontId="3"/>
  </si>
  <si>
    <t>ロックミーPM</t>
    <phoneticPr fontId="3"/>
  </si>
  <si>
    <t>B コバトケ張り付き</t>
    <rPh sb="6" eb="7">
      <t>ハ</t>
    </rPh>
    <rPh sb="8" eb="9">
      <t>ツ</t>
    </rPh>
    <phoneticPr fontId="3"/>
  </si>
  <si>
    <t>シラク―サPM</t>
    <phoneticPr fontId="3"/>
  </si>
  <si>
    <t>F切れ</t>
    <rPh sb="1" eb="2">
      <t>キ</t>
    </rPh>
    <phoneticPr fontId="3"/>
  </si>
  <si>
    <t>スポンティーニ</t>
    <phoneticPr fontId="3"/>
  </si>
  <si>
    <t>付け根TKB</t>
    <rPh sb="0" eb="1">
      <t>ツ</t>
    </rPh>
    <rPh sb="2" eb="3">
      <t>ネ</t>
    </rPh>
    <phoneticPr fontId="3"/>
  </si>
  <si>
    <t>ポンヌフ</t>
    <phoneticPr fontId="3"/>
  </si>
  <si>
    <t>エピ　スフロ</t>
    <phoneticPr fontId="3"/>
  </si>
  <si>
    <t>B　付根ごまかし</t>
    <rPh sb="2" eb="4">
      <t>ツケネ</t>
    </rPh>
    <phoneticPr fontId="3"/>
  </si>
  <si>
    <t>月崎</t>
    <rPh sb="0" eb="1">
      <t>ツキ</t>
    </rPh>
    <rPh sb="1" eb="2">
      <t>ザキ</t>
    </rPh>
    <phoneticPr fontId="3"/>
  </si>
  <si>
    <t>ルコ</t>
    <phoneticPr fontId="3"/>
  </si>
  <si>
    <t>B　根切れ</t>
    <rPh sb="2" eb="4">
      <t>ネキ</t>
    </rPh>
    <phoneticPr fontId="3"/>
  </si>
  <si>
    <t>Dior</t>
    <phoneticPr fontId="3"/>
  </si>
  <si>
    <t>トロッター　ショルダーバッグ</t>
    <phoneticPr fontId="3"/>
  </si>
  <si>
    <t>B　底切れごまかし</t>
    <rPh sb="2" eb="4">
      <t>ソコキ</t>
    </rPh>
    <phoneticPr fontId="3"/>
  </si>
  <si>
    <t>プラダ</t>
    <phoneticPr fontId="3"/>
  </si>
  <si>
    <t>ナイロンショルダーバッグ</t>
    <phoneticPr fontId="3"/>
  </si>
  <si>
    <t>レザーショルダーバッグ</t>
    <phoneticPr fontId="3"/>
  </si>
  <si>
    <t>アディダスコラボ　チェーンショルダー</t>
    <phoneticPr fontId="3"/>
  </si>
  <si>
    <t>チェーン</t>
    <phoneticPr fontId="3"/>
  </si>
  <si>
    <t>GGナイロンレザー　オフザグリッド　ショルダー</t>
    <phoneticPr fontId="3"/>
  </si>
  <si>
    <t>ディアマンテ　ショルダー</t>
    <phoneticPr fontId="3"/>
  </si>
  <si>
    <t>ボッテガヴェネタ</t>
    <phoneticPr fontId="3"/>
  </si>
  <si>
    <t>イントレチャート　ショルダー</t>
    <phoneticPr fontId="3"/>
  </si>
  <si>
    <t>セリーヌ</t>
    <phoneticPr fontId="3"/>
  </si>
  <si>
    <t>レザーハンドバッグ</t>
    <phoneticPr fontId="3"/>
  </si>
  <si>
    <t>アンテプリマ</t>
    <phoneticPr fontId="3"/>
  </si>
  <si>
    <t>ハンドバッグ</t>
    <phoneticPr fontId="3"/>
  </si>
  <si>
    <t>ケリーウォレット</t>
    <phoneticPr fontId="3"/>
  </si>
  <si>
    <t>C刻印　箱</t>
    <rPh sb="1" eb="3">
      <t>コクイン</t>
    </rPh>
    <rPh sb="4" eb="5">
      <t>ハコ</t>
    </rPh>
    <phoneticPr fontId="3"/>
  </si>
  <si>
    <t>モノグラムホリディ　ジッピーウォレット</t>
    <phoneticPr fontId="3"/>
  </si>
  <si>
    <t>ばなにゃ　ハートシェイプコインケース</t>
    <phoneticPr fontId="3"/>
  </si>
  <si>
    <t>グローブホルダー</t>
    <phoneticPr fontId="3"/>
  </si>
  <si>
    <t>AB　刻印なし</t>
    <rPh sb="3" eb="5">
      <t>コクイン</t>
    </rPh>
    <phoneticPr fontId="3"/>
  </si>
  <si>
    <t>ネックレス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</si>
</sst>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indexed="8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6"/>
      <color theme="1"/>
      <name val="HGSｺﾞｼｯｸE"/>
      <family val="3"/>
      <charset val="128"/>
    </font>
    <font>
      <sz val="16"/>
      <color rgb="FF362B36"/>
      <name val="HGSｺﾞｼｯｸE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 applyProtection="1">
      <protection locked="0"/>
    </xf>
    <xf numFmtId="0" fontId="0" fillId="0" borderId="1" xfId="0" applyBorder="1">
      <alignment vertical="center"/>
    </xf>
    <xf numFmtId="0" fontId="2" fillId="0" borderId="1" xfId="0" applyFont="1" applyBorder="1" applyAlignment="1" applyProtection="1">
      <protection locked="0"/>
    </xf>
    <xf numFmtId="49" fontId="2" fillId="0" borderId="1" xfId="0" applyNumberFormat="1" applyFont="1" applyBorder="1" applyAlignment="1" applyProtection="1"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2" fillId="0" borderId="1" xfId="0" applyFont="1" applyBorder="1">
      <alignment vertical="center"/>
    </xf>
    <xf numFmtId="0" fontId="5" fillId="0" borderId="3" xfId="2" applyFont="1" applyBorder="1" applyAlignment="1">
      <alignment horizontal="left" vertical="center"/>
    </xf>
    <xf numFmtId="0" fontId="2" fillId="0" borderId="2" xfId="0" applyFont="1" applyBorder="1" applyAlignment="1" applyProtection="1">
      <protection locked="0"/>
    </xf>
    <xf numFmtId="0" fontId="2" fillId="0" borderId="3" xfId="0" applyFont="1" applyBorder="1" applyAlignment="1"/>
    <xf numFmtId="49" fontId="2" fillId="0" borderId="0" xfId="0" applyNumberFormat="1" applyFont="1" applyAlignment="1" applyProtection="1">
      <protection locked="0"/>
    </xf>
    <xf numFmtId="38" fontId="2" fillId="0" borderId="0" xfId="1" applyFont="1" applyFill="1" applyBorder="1" applyAlignment="1" applyProtection="1">
      <protection locked="0"/>
    </xf>
    <xf numFmtId="0" fontId="2" fillId="0" borderId="0" xfId="0" applyFont="1">
      <alignment vertical="center"/>
    </xf>
    <xf numFmtId="0" fontId="2" fillId="0" borderId="3" xfId="2" applyFont="1" applyBorder="1">
      <alignment vertical="center"/>
    </xf>
    <xf numFmtId="0" fontId="5" fillId="0" borderId="3" xfId="2" applyFont="1" applyBorder="1">
      <alignment vertical="center"/>
    </xf>
    <xf numFmtId="38" fontId="2" fillId="0" borderId="4" xfId="1" applyFont="1" applyFill="1" applyBorder="1" applyAlignment="1" applyProtection="1">
      <protection locked="0"/>
    </xf>
    <xf numFmtId="38" fontId="2" fillId="0" borderId="5" xfId="1" applyFont="1" applyFill="1" applyBorder="1" applyAlignment="1" applyProtection="1">
      <protection locked="0"/>
    </xf>
    <xf numFmtId="38" fontId="2" fillId="0" borderId="4" xfId="1" applyFont="1" applyBorder="1" applyAlignment="1" applyProtection="1">
      <protection locked="0"/>
    </xf>
    <xf numFmtId="38" fontId="2" fillId="0" borderId="5" xfId="1" applyFont="1" applyBorder="1" applyAlignment="1" applyProtection="1">
      <protection locked="0"/>
    </xf>
    <xf numFmtId="0" fontId="0" fillId="0" borderId="3" xfId="0" applyBorder="1">
      <alignment vertical="center"/>
    </xf>
    <xf numFmtId="38" fontId="2" fillId="0" borderId="6" xfId="1" applyFont="1" applyFill="1" applyBorder="1" applyAlignment="1" applyProtection="1">
      <protection locked="0"/>
    </xf>
    <xf numFmtId="49" fontId="2" fillId="0" borderId="9" xfId="0" applyNumberFormat="1" applyFont="1" applyBorder="1" applyAlignment="1" applyProtection="1">
      <protection locked="0"/>
    </xf>
    <xf numFmtId="0" fontId="0" fillId="0" borderId="9" xfId="0" applyBorder="1">
      <alignment vertical="center"/>
    </xf>
    <xf numFmtId="0" fontId="2" fillId="0" borderId="10" xfId="0" applyFont="1" applyBorder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10" xfId="0" applyBorder="1">
      <alignment vertical="center"/>
    </xf>
    <xf numFmtId="0" fontId="2" fillId="0" borderId="11" xfId="0" applyFont="1" applyBorder="1" applyAlignment="1"/>
    <xf numFmtId="176" fontId="5" fillId="0" borderId="3" xfId="2" applyNumberFormat="1" applyFont="1" applyBorder="1" applyAlignment="1">
      <alignment horizontal="left" vertical="center"/>
    </xf>
    <xf numFmtId="176" fontId="2" fillId="0" borderId="4" xfId="0" applyNumberFormat="1" applyFont="1" applyBorder="1" applyAlignment="1" applyProtection="1">
      <alignment wrapText="1"/>
      <protection locked="0"/>
    </xf>
    <xf numFmtId="176" fontId="2" fillId="0" borderId="4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0" fontId="2" fillId="0" borderId="13" xfId="0" applyFont="1" applyBorder="1" applyAlignment="1" applyProtection="1">
      <protection locked="0"/>
    </xf>
    <xf numFmtId="0" fontId="2" fillId="0" borderId="15" xfId="0" applyFont="1" applyBorder="1" applyAlignment="1"/>
    <xf numFmtId="0" fontId="2" fillId="0" borderId="12" xfId="0" applyFont="1" applyBorder="1" applyAlignment="1" applyProtection="1">
      <protection locked="0"/>
    </xf>
    <xf numFmtId="0" fontId="2" fillId="0" borderId="14" xfId="0" applyFont="1" applyBorder="1" applyAlignment="1" applyProtection="1">
      <protection locked="0"/>
    </xf>
    <xf numFmtId="0" fontId="5" fillId="0" borderId="18" xfId="2" applyFont="1" applyBorder="1" applyAlignment="1">
      <alignment horizontal="left" vertical="center"/>
    </xf>
    <xf numFmtId="0" fontId="2" fillId="0" borderId="19" xfId="0" applyFont="1" applyBorder="1" applyAlignment="1"/>
    <xf numFmtId="0" fontId="2" fillId="0" borderId="18" xfId="0" applyFont="1" applyBorder="1" applyAlignment="1"/>
    <xf numFmtId="0" fontId="2" fillId="0" borderId="17" xfId="0" applyFont="1" applyBorder="1" applyAlignment="1" applyProtection="1">
      <protection locked="0"/>
    </xf>
    <xf numFmtId="0" fontId="2" fillId="0" borderId="11" xfId="0" applyFont="1" applyBorder="1" applyAlignment="1" applyProtection="1">
      <protection locked="0"/>
    </xf>
    <xf numFmtId="0" fontId="0" fillId="0" borderId="11" xfId="0" applyBorder="1">
      <alignment vertical="center"/>
    </xf>
    <xf numFmtId="0" fontId="7" fillId="0" borderId="20" xfId="0" applyFont="1" applyBorder="1" applyAlignment="1"/>
    <xf numFmtId="38" fontId="2" fillId="0" borderId="11" xfId="1" applyFont="1" applyBorder="1" applyAlignment="1" applyProtection="1">
      <protection locked="0"/>
    </xf>
    <xf numFmtId="176" fontId="2" fillId="0" borderId="6" xfId="0" applyNumberFormat="1" applyFont="1" applyBorder="1" applyAlignment="1" applyProtection="1">
      <alignment wrapText="1"/>
      <protection locked="0"/>
    </xf>
    <xf numFmtId="49" fontId="2" fillId="0" borderId="7" xfId="0" applyNumberFormat="1" applyFont="1" applyBorder="1" applyAlignment="1" applyProtection="1">
      <protection locked="0"/>
    </xf>
    <xf numFmtId="49" fontId="2" fillId="0" borderId="16" xfId="0" applyNumberFormat="1" applyFont="1" applyBorder="1" applyAlignment="1" applyProtection="1">
      <alignment wrapText="1"/>
      <protection locked="0"/>
    </xf>
    <xf numFmtId="49" fontId="2" fillId="0" borderId="0" xfId="0" applyNumberFormat="1" applyFont="1" applyAlignment="1" applyProtection="1">
      <alignment wrapText="1"/>
      <protection locked="0"/>
    </xf>
    <xf numFmtId="0" fontId="2" fillId="0" borderId="8" xfId="0" applyFont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 applyProtection="1">
      <protection locked="0"/>
    </xf>
    <xf numFmtId="0" fontId="2" fillId="0" borderId="3" xfId="0" applyFont="1" applyBorder="1" applyAlignment="1" applyProtection="1">
      <protection locked="0"/>
    </xf>
    <xf numFmtId="0" fontId="2" fillId="2" borderId="1" xfId="0" applyFont="1" applyFill="1" applyBorder="1" applyAlignment="1" applyProtection="1">
      <protection locked="0"/>
    </xf>
    <xf numFmtId="176" fontId="2" fillId="2" borderId="4" xfId="0" applyNumberFormat="1" applyFont="1" applyFill="1" applyBorder="1" applyAlignment="1" applyProtection="1">
      <alignment wrapText="1"/>
      <protection locked="0"/>
    </xf>
    <xf numFmtId="49" fontId="2" fillId="2" borderId="1" xfId="0" applyNumberFormat="1" applyFont="1" applyFill="1" applyBorder="1" applyAlignment="1" applyProtection="1">
      <protection locked="0"/>
    </xf>
    <xf numFmtId="49" fontId="2" fillId="2" borderId="1" xfId="0" applyNumberFormat="1" applyFont="1" applyFill="1" applyBorder="1" applyAlignment="1" applyProtection="1">
      <alignment wrapText="1"/>
      <protection locked="0"/>
    </xf>
    <xf numFmtId="49" fontId="2" fillId="2" borderId="0" xfId="0" applyNumberFormat="1" applyFont="1" applyFill="1" applyAlignment="1" applyProtection="1">
      <alignment wrapText="1"/>
      <protection locked="0"/>
    </xf>
    <xf numFmtId="0" fontId="2" fillId="2" borderId="0" xfId="0" applyFont="1" applyFill="1" applyAlignment="1" applyProtection="1">
      <protection locked="0"/>
    </xf>
    <xf numFmtId="38" fontId="2" fillId="2" borderId="4" xfId="1" applyFont="1" applyFill="1" applyBorder="1" applyAlignment="1" applyProtection="1">
      <protection locked="0"/>
    </xf>
    <xf numFmtId="0" fontId="2" fillId="2" borderId="17" xfId="0" applyFont="1" applyFill="1" applyBorder="1" applyAlignment="1" applyProtection="1">
      <protection locked="0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49" fontId="2" fillId="0" borderId="7" xfId="0" applyNumberFormat="1" applyFont="1" applyBorder="1" applyAlignment="1" applyProtection="1">
      <alignment wrapText="1"/>
      <protection locked="0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38" fontId="2" fillId="2" borderId="6" xfId="1" applyFont="1" applyFill="1" applyBorder="1" applyAlignment="1" applyProtection="1">
      <protection locked="0"/>
    </xf>
    <xf numFmtId="0" fontId="2" fillId="5" borderId="1" xfId="0" applyFont="1" applyFill="1" applyBorder="1" applyAlignment="1" applyProtection="1">
      <protection locked="0"/>
    </xf>
    <xf numFmtId="176" fontId="2" fillId="5" borderId="4" xfId="0" applyNumberFormat="1" applyFont="1" applyFill="1" applyBorder="1">
      <alignment vertical="center"/>
    </xf>
    <xf numFmtId="49" fontId="2" fillId="5" borderId="1" xfId="0" applyNumberFormat="1" applyFont="1" applyFill="1" applyBorder="1" applyAlignment="1" applyProtection="1">
      <protection locked="0"/>
    </xf>
    <xf numFmtId="0" fontId="2" fillId="5" borderId="0" xfId="0" applyFont="1" applyFill="1">
      <alignment vertical="center"/>
    </xf>
    <xf numFmtId="0" fontId="2" fillId="5" borderId="0" xfId="0" applyFont="1" applyFill="1" applyAlignment="1" applyProtection="1">
      <protection locked="0"/>
    </xf>
    <xf numFmtId="38" fontId="2" fillId="5" borderId="4" xfId="1" applyFont="1" applyFill="1" applyBorder="1" applyAlignment="1" applyProtection="1">
      <protection locked="0"/>
    </xf>
    <xf numFmtId="0" fontId="2" fillId="5" borderId="17" xfId="0" applyFont="1" applyFill="1" applyBorder="1" applyAlignment="1" applyProtection="1">
      <protection locked="0"/>
    </xf>
    <xf numFmtId="0" fontId="7" fillId="5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2" fillId="6" borderId="1" xfId="0" applyFont="1" applyFill="1" applyBorder="1" applyAlignment="1" applyProtection="1">
      <protection locked="0"/>
    </xf>
    <xf numFmtId="176" fontId="2" fillId="6" borderId="6" xfId="0" applyNumberFormat="1" applyFont="1" applyFill="1" applyBorder="1" applyAlignment="1" applyProtection="1">
      <alignment wrapText="1"/>
      <protection locked="0"/>
    </xf>
    <xf numFmtId="49" fontId="2" fillId="6" borderId="7" xfId="0" applyNumberFormat="1" applyFont="1" applyFill="1" applyBorder="1" applyAlignment="1" applyProtection="1">
      <protection locked="0"/>
    </xf>
    <xf numFmtId="49" fontId="2" fillId="6" borderId="1" xfId="0" applyNumberFormat="1" applyFont="1" applyFill="1" applyBorder="1" applyAlignment="1" applyProtection="1">
      <alignment wrapText="1"/>
      <protection locked="0"/>
    </xf>
    <xf numFmtId="49" fontId="2" fillId="6" borderId="0" xfId="0" applyNumberFormat="1" applyFont="1" applyFill="1" applyAlignment="1" applyProtection="1">
      <alignment wrapText="1"/>
      <protection locked="0"/>
    </xf>
    <xf numFmtId="0" fontId="2" fillId="6" borderId="0" xfId="0" applyFont="1" applyFill="1" applyAlignment="1" applyProtection="1">
      <protection locked="0"/>
    </xf>
    <xf numFmtId="38" fontId="2" fillId="6" borderId="6" xfId="1" applyFont="1" applyFill="1" applyBorder="1" applyAlignment="1" applyProtection="1">
      <protection locked="0"/>
    </xf>
    <xf numFmtId="0" fontId="2" fillId="6" borderId="17" xfId="0" applyFont="1" applyFill="1" applyBorder="1" applyAlignment="1" applyProtection="1">
      <protection locked="0"/>
    </xf>
    <xf numFmtId="0" fontId="8" fillId="6" borderId="0" xfId="0" applyFont="1" applyFill="1">
      <alignment vertical="center"/>
    </xf>
    <xf numFmtId="0" fontId="8" fillId="6" borderId="0" xfId="0" applyFont="1" applyFill="1" applyAlignment="1">
      <alignment horizontal="right" vertical="center"/>
    </xf>
    <xf numFmtId="176" fontId="2" fillId="2" borderId="6" xfId="0" applyNumberFormat="1" applyFont="1" applyFill="1" applyBorder="1" applyAlignment="1" applyProtection="1">
      <alignment wrapText="1"/>
      <protection locked="0"/>
    </xf>
    <xf numFmtId="49" fontId="2" fillId="2" borderId="7" xfId="0" applyNumberFormat="1" applyFont="1" applyFill="1" applyBorder="1" applyAlignment="1" applyProtection="1">
      <protection locked="0"/>
    </xf>
    <xf numFmtId="0" fontId="8" fillId="2" borderId="0" xfId="0" applyFont="1" applyFill="1">
      <alignment vertical="center"/>
    </xf>
    <xf numFmtId="0" fontId="2" fillId="6" borderId="12" xfId="0" applyFont="1" applyFill="1" applyBorder="1" applyAlignment="1" applyProtection="1">
      <protection locked="0"/>
    </xf>
    <xf numFmtId="176" fontId="2" fillId="6" borderId="4" xfId="0" applyNumberFormat="1" applyFont="1" applyFill="1" applyBorder="1" applyAlignment="1" applyProtection="1">
      <alignment wrapText="1"/>
      <protection locked="0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3">
    <cellStyle name="桁区切り" xfId="1" builtinId="6"/>
    <cellStyle name="標準" xfId="0" builtinId="0"/>
    <cellStyle name="標準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ja888/Downloads/&#20986;&#21697;&#21830;&#21697;&#30331;&#37682;_&#12496;&#12483;&#12464;&#65288;&#20013;&#21476;&#65289;_EXCEL&#12486;&#12531;&#12503;&#12524;&#12540;&#12488;.xlsx" TargetMode="External"/><Relationship Id="rId1" Type="http://schemas.openxmlformats.org/officeDocument/2006/relationships/externalLinkPath" Target="/Users/ja888/Downloads/&#20986;&#21697;&#21830;&#21697;&#30331;&#37682;_&#12496;&#12483;&#12464;&#65288;&#20013;&#21476;&#65289;_EXCEL&#12486;&#12531;&#12503;&#12524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出品商品一覧"/>
      <sheetName val="Javaチェックシート"/>
      <sheetName val="設定(削除禁止)"/>
    </sheetNames>
    <sheetDataSet>
      <sheetData sheetId="0"/>
      <sheetData sheetId="1"/>
      <sheetData sheetId="2">
        <row r="3">
          <cell r="U3" t="str">
            <v>バッグ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C1F4-B88F-4EB3-8B2A-FC29A02AF761}">
  <dimension ref="A1:U109"/>
  <sheetViews>
    <sheetView topLeftCell="C1" workbookViewId="0">
      <selection activeCell="C2" sqref="C2:M14"/>
    </sheetView>
  </sheetViews>
  <sheetFormatPr defaultRowHeight="19.2"/>
  <cols>
    <col min="1" max="1" width="11.59765625" hidden="1" customWidth="1"/>
    <col min="2" max="2" width="14.09765625" hidden="1" customWidth="1"/>
    <col min="3" max="3" width="9" style="32" customWidth="1"/>
    <col min="4" max="4" width="13.69921875" customWidth="1"/>
    <col min="5" max="5" width="18.8984375" customWidth="1"/>
    <col min="6" max="6" width="7.69921875" customWidth="1"/>
    <col min="7" max="7" width="8.5" customWidth="1"/>
    <col min="8" max="8" width="10.5" style="82" customWidth="1"/>
    <col min="9" max="9" width="8.8984375" customWidth="1"/>
    <col min="10" max="10" width="8.3984375" style="43" customWidth="1"/>
    <col min="11" max="11" width="11.59765625" style="43" bestFit="1" customWidth="1"/>
    <col min="12" max="12" width="16" style="33" customWidth="1"/>
    <col min="13" max="13" width="10.8984375" customWidth="1"/>
    <col min="14" max="14" width="9" customWidth="1"/>
    <col min="15" max="15" width="18.09765625" customWidth="1"/>
    <col min="16" max="16" width="11.69921875" customWidth="1"/>
    <col min="17" max="17" width="13.59765625" customWidth="1"/>
    <col min="18" max="18" width="17.8984375" customWidth="1"/>
    <col min="19" max="19" width="17.09765625" customWidth="1"/>
    <col min="21" max="21" width="13.69921875" customWidth="1"/>
  </cols>
  <sheetData>
    <row r="1" spans="1:21" ht="19.8" thickBot="1">
      <c r="A1" s="10" t="s">
        <v>25</v>
      </c>
      <c r="B1" s="20" t="s">
        <v>26</v>
      </c>
      <c r="C1" s="28" t="s">
        <v>6</v>
      </c>
      <c r="D1" s="14" t="s">
        <v>0</v>
      </c>
      <c r="E1" s="38" t="s">
        <v>62</v>
      </c>
      <c r="F1" s="8" t="s">
        <v>61</v>
      </c>
      <c r="G1" s="39" t="s">
        <v>3</v>
      </c>
      <c r="H1" s="14" t="s">
        <v>1</v>
      </c>
      <c r="I1" s="40" t="s">
        <v>2</v>
      </c>
      <c r="J1" s="10" t="s">
        <v>4</v>
      </c>
      <c r="K1" s="10" t="s">
        <v>24</v>
      </c>
      <c r="L1" s="44" t="s">
        <v>63</v>
      </c>
      <c r="M1" s="27" t="s">
        <v>64</v>
      </c>
      <c r="O1" s="35" t="s">
        <v>67</v>
      </c>
      <c r="P1" s="35" t="s">
        <v>5</v>
      </c>
      <c r="Q1" s="35" t="s">
        <v>207</v>
      </c>
      <c r="R1" s="35" t="s">
        <v>73</v>
      </c>
      <c r="S1" s="1" t="s">
        <v>74</v>
      </c>
      <c r="U1" s="1" t="s">
        <v>75</v>
      </c>
    </row>
    <row r="2" spans="1:21" ht="19.8" thickBot="1">
      <c r="A2" s="4"/>
      <c r="B2" s="4"/>
      <c r="C2" s="46" t="s">
        <v>68</v>
      </c>
      <c r="D2" s="47" t="s">
        <v>222</v>
      </c>
      <c r="E2" s="48" t="s">
        <v>223</v>
      </c>
      <c r="F2" s="49" t="s">
        <v>224</v>
      </c>
      <c r="G2" s="50" t="s">
        <v>231</v>
      </c>
      <c r="H2" s="21">
        <f>J2*1.5</f>
        <v>81000</v>
      </c>
      <c r="I2" s="50" t="s">
        <v>225</v>
      </c>
      <c r="J2" s="41">
        <v>54000</v>
      </c>
      <c r="K2" s="21">
        <f>J2*1.1</f>
        <v>59400.000000000007</v>
      </c>
      <c r="L2" s="51">
        <v>4488110</v>
      </c>
      <c r="Q2" s="81"/>
    </row>
    <row r="3" spans="1:21" ht="40.200000000000003" thickBot="1">
      <c r="A3" s="4"/>
      <c r="B3" s="4"/>
      <c r="C3" s="46" t="s">
        <v>7</v>
      </c>
      <c r="D3" s="47" t="s">
        <v>226</v>
      </c>
      <c r="E3" s="48" t="s">
        <v>227</v>
      </c>
      <c r="F3" s="49" t="s">
        <v>228</v>
      </c>
      <c r="G3" s="2" t="s">
        <v>232</v>
      </c>
      <c r="H3" s="21">
        <v>420000</v>
      </c>
      <c r="I3" s="2" t="s">
        <v>229</v>
      </c>
      <c r="J3" s="41">
        <v>356000</v>
      </c>
      <c r="K3" s="21">
        <f>J3*1.1</f>
        <v>391600.00000000006</v>
      </c>
      <c r="L3" s="52">
        <v>2553012</v>
      </c>
      <c r="Q3" s="81"/>
    </row>
    <row r="4" spans="1:21" ht="40.200000000000003" thickBot="1">
      <c r="A4" s="4"/>
      <c r="B4" s="4"/>
      <c r="C4" s="46" t="s">
        <v>8</v>
      </c>
      <c r="D4" s="47" t="s">
        <v>226</v>
      </c>
      <c r="E4" s="6" t="s">
        <v>230</v>
      </c>
      <c r="F4" s="49" t="s">
        <v>228</v>
      </c>
      <c r="G4" s="2" t="s">
        <v>233</v>
      </c>
      <c r="H4" s="21">
        <v>98000</v>
      </c>
      <c r="I4" s="2" t="s">
        <v>236</v>
      </c>
      <c r="J4" s="41">
        <v>65000</v>
      </c>
      <c r="K4" s="21">
        <f>J4*1.1</f>
        <v>71500</v>
      </c>
      <c r="L4" s="52">
        <v>3975865</v>
      </c>
    </row>
    <row r="5" spans="1:21" ht="53.4" thickBot="1">
      <c r="A5" s="4"/>
      <c r="B5" s="4"/>
      <c r="C5" s="46" t="s">
        <v>9</v>
      </c>
      <c r="D5" s="47" t="s">
        <v>226</v>
      </c>
      <c r="E5" s="6" t="s">
        <v>234</v>
      </c>
      <c r="F5" s="49" t="s">
        <v>235</v>
      </c>
      <c r="G5" s="2" t="s">
        <v>238</v>
      </c>
      <c r="H5" s="21">
        <v>158000</v>
      </c>
      <c r="I5" s="2" t="s">
        <v>237</v>
      </c>
      <c r="J5" s="41">
        <v>105000</v>
      </c>
      <c r="K5" s="21">
        <v>115500</v>
      </c>
      <c r="L5" s="52">
        <v>3969114</v>
      </c>
      <c r="M5" t="s">
        <v>225</v>
      </c>
    </row>
    <row r="6" spans="1:21" s="80" customFormat="1" ht="53.4" thickBot="1">
      <c r="A6" s="83"/>
      <c r="B6" s="83"/>
      <c r="C6" s="84" t="s">
        <v>10</v>
      </c>
      <c r="D6" s="85" t="s">
        <v>226</v>
      </c>
      <c r="E6" s="86" t="s">
        <v>239</v>
      </c>
      <c r="F6" s="87" t="s">
        <v>235</v>
      </c>
      <c r="G6" s="88" t="s">
        <v>240</v>
      </c>
      <c r="H6" s="89">
        <f>J6*1.5</f>
        <v>120000</v>
      </c>
      <c r="I6" s="88" t="s">
        <v>241</v>
      </c>
      <c r="J6" s="90">
        <v>80000</v>
      </c>
      <c r="K6" s="89">
        <f t="shared" ref="K6:K14" si="0">J6*1.1</f>
        <v>88000</v>
      </c>
      <c r="L6" s="92">
        <v>2282291</v>
      </c>
    </row>
    <row r="7" spans="1:21" s="66" customFormat="1" ht="27" thickBot="1">
      <c r="A7" s="57"/>
      <c r="B7" s="57"/>
      <c r="C7" s="93" t="s">
        <v>11</v>
      </c>
      <c r="D7" s="94" t="s">
        <v>243</v>
      </c>
      <c r="E7" s="60" t="s">
        <v>244</v>
      </c>
      <c r="F7" s="61"/>
      <c r="G7" s="62" t="s">
        <v>245</v>
      </c>
      <c r="H7" s="70">
        <f>J7*1.5</f>
        <v>39000</v>
      </c>
      <c r="I7" s="62" t="s">
        <v>237</v>
      </c>
      <c r="J7" s="64">
        <v>26000</v>
      </c>
      <c r="K7" s="70">
        <f t="shared" si="0"/>
        <v>28600.000000000004</v>
      </c>
      <c r="L7" s="95">
        <v>4473263</v>
      </c>
      <c r="M7" s="66" t="s">
        <v>242</v>
      </c>
    </row>
    <row r="8" spans="1:21" ht="53.4" thickBot="1">
      <c r="A8" s="4"/>
      <c r="B8" s="4"/>
      <c r="C8" s="46" t="s">
        <v>12</v>
      </c>
      <c r="D8" s="47" t="s">
        <v>246</v>
      </c>
      <c r="E8" s="6" t="s">
        <v>247</v>
      </c>
      <c r="F8" s="49" t="s">
        <v>248</v>
      </c>
      <c r="G8" s="2" t="s">
        <v>232</v>
      </c>
      <c r="H8" s="21">
        <f>J8*1.5</f>
        <v>222000</v>
      </c>
      <c r="I8" s="2" t="s">
        <v>229</v>
      </c>
      <c r="J8" s="41">
        <v>148000</v>
      </c>
      <c r="K8" s="21">
        <f t="shared" si="0"/>
        <v>162800</v>
      </c>
      <c r="L8" s="54">
        <v>4052368</v>
      </c>
    </row>
    <row r="9" spans="1:21" ht="27" thickBot="1">
      <c r="A9" s="4"/>
      <c r="B9" s="4"/>
      <c r="C9" s="46" t="s">
        <v>13</v>
      </c>
      <c r="D9" s="47" t="s">
        <v>246</v>
      </c>
      <c r="E9" s="6" t="s">
        <v>249</v>
      </c>
      <c r="F9" s="49" t="s">
        <v>250</v>
      </c>
      <c r="G9" s="2" t="s">
        <v>251</v>
      </c>
      <c r="H9" s="21">
        <v>269000</v>
      </c>
      <c r="I9" s="2" t="s">
        <v>229</v>
      </c>
      <c r="J9" s="41">
        <v>179000</v>
      </c>
      <c r="K9" s="21">
        <f t="shared" si="0"/>
        <v>196900.00000000003</v>
      </c>
      <c r="L9" s="52">
        <v>3132779</v>
      </c>
    </row>
    <row r="10" spans="1:21" ht="19.8" thickBot="1">
      <c r="A10" s="4"/>
      <c r="B10" s="4"/>
      <c r="C10" s="46" t="s">
        <v>14</v>
      </c>
      <c r="D10" s="47" t="s">
        <v>246</v>
      </c>
      <c r="E10" s="6" t="s">
        <v>252</v>
      </c>
      <c r="F10" s="49"/>
      <c r="G10" s="2" t="s">
        <v>253</v>
      </c>
      <c r="H10" s="21">
        <v>53000</v>
      </c>
      <c r="I10" s="2" t="s">
        <v>254</v>
      </c>
      <c r="J10" s="41">
        <v>35000</v>
      </c>
      <c r="K10" s="21">
        <f t="shared" si="0"/>
        <v>38500</v>
      </c>
      <c r="L10" s="52">
        <v>3978213</v>
      </c>
    </row>
    <row r="11" spans="1:21" ht="19.8" thickBot="1">
      <c r="A11" s="4"/>
      <c r="B11" s="4"/>
      <c r="C11" s="46" t="s">
        <v>15</v>
      </c>
      <c r="D11" s="47" t="s">
        <v>246</v>
      </c>
      <c r="E11" s="6" t="s">
        <v>255</v>
      </c>
      <c r="F11" s="49"/>
      <c r="G11" s="2" t="s">
        <v>256</v>
      </c>
      <c r="H11" s="21">
        <v>107000</v>
      </c>
      <c r="I11" s="2" t="s">
        <v>254</v>
      </c>
      <c r="J11" s="41">
        <v>71000</v>
      </c>
      <c r="K11" s="21">
        <f t="shared" si="0"/>
        <v>78100</v>
      </c>
      <c r="L11" s="52">
        <v>2284295</v>
      </c>
    </row>
    <row r="12" spans="1:21" s="80" customFormat="1" ht="19.8" thickBot="1">
      <c r="A12" s="83"/>
      <c r="B12" s="96"/>
      <c r="C12" s="97" t="s">
        <v>69</v>
      </c>
      <c r="D12" s="85" t="s">
        <v>246</v>
      </c>
      <c r="E12" s="86" t="s">
        <v>257</v>
      </c>
      <c r="F12" s="87"/>
      <c r="G12" s="88" t="s">
        <v>258</v>
      </c>
      <c r="H12" s="89">
        <v>56000</v>
      </c>
      <c r="I12" s="88" t="s">
        <v>241</v>
      </c>
      <c r="J12" s="90">
        <v>37000</v>
      </c>
      <c r="K12" s="89">
        <f t="shared" si="0"/>
        <v>40700</v>
      </c>
      <c r="L12" s="91">
        <v>4754023</v>
      </c>
    </row>
    <row r="13" spans="1:21" ht="54" thickBot="1">
      <c r="A13" s="4"/>
      <c r="B13" s="34"/>
      <c r="C13" s="29" t="s">
        <v>16</v>
      </c>
      <c r="D13" s="47" t="s">
        <v>259</v>
      </c>
      <c r="E13" s="6" t="s">
        <v>260</v>
      </c>
      <c r="F13" s="49" t="s">
        <v>261</v>
      </c>
      <c r="G13" s="2" t="s">
        <v>262</v>
      </c>
      <c r="H13" s="21">
        <v>24000</v>
      </c>
      <c r="I13" s="2" t="s">
        <v>241</v>
      </c>
      <c r="J13" s="41">
        <v>16000</v>
      </c>
      <c r="K13" s="21">
        <f t="shared" si="0"/>
        <v>17600</v>
      </c>
      <c r="L13" s="55">
        <v>4486091</v>
      </c>
    </row>
    <row r="14" spans="1:21" ht="27" thickBot="1">
      <c r="A14" s="4"/>
      <c r="B14" s="34"/>
      <c r="C14" s="29" t="s">
        <v>17</v>
      </c>
      <c r="D14" s="47" t="s">
        <v>246</v>
      </c>
      <c r="E14" s="6" t="s">
        <v>263</v>
      </c>
      <c r="F14" s="49" t="s">
        <v>264</v>
      </c>
      <c r="G14" s="2" t="s">
        <v>265</v>
      </c>
      <c r="H14" s="21">
        <v>23000</v>
      </c>
      <c r="I14" s="2" t="s">
        <v>229</v>
      </c>
      <c r="J14" s="41">
        <v>15000</v>
      </c>
      <c r="K14" s="21">
        <f t="shared" si="0"/>
        <v>16500</v>
      </c>
      <c r="L14" s="54">
        <v>3975751</v>
      </c>
    </row>
    <row r="15" spans="1:21" ht="19.8" thickBot="1">
      <c r="A15" s="4"/>
      <c r="B15" s="34"/>
      <c r="C15" s="29" t="s">
        <v>18</v>
      </c>
      <c r="D15" s="47"/>
      <c r="E15" s="6"/>
      <c r="F15" s="49"/>
      <c r="G15" s="2"/>
      <c r="H15" s="21"/>
      <c r="I15" s="2"/>
      <c r="J15" s="56"/>
      <c r="K15" s="21"/>
      <c r="L15" s="52"/>
    </row>
    <row r="16" spans="1:21" ht="19.8" thickBot="1">
      <c r="A16" s="4"/>
      <c r="B16" s="34"/>
      <c r="C16" s="29" t="s">
        <v>98</v>
      </c>
      <c r="D16" s="47"/>
      <c r="E16" s="6"/>
      <c r="F16" s="49"/>
      <c r="G16" s="2"/>
      <c r="H16" s="21"/>
      <c r="I16" s="2"/>
      <c r="J16" s="56"/>
      <c r="K16" s="21"/>
      <c r="L16" s="52"/>
    </row>
    <row r="17" spans="1:13" ht="19.8" thickBot="1">
      <c r="A17" s="4"/>
      <c r="B17" s="34"/>
      <c r="C17" s="29" t="s">
        <v>19</v>
      </c>
      <c r="D17" s="47"/>
      <c r="E17" s="6"/>
      <c r="F17" s="49"/>
      <c r="G17" s="2"/>
      <c r="H17" s="21"/>
      <c r="I17" s="2"/>
      <c r="J17" s="41"/>
      <c r="K17" s="21"/>
      <c r="L17" s="52"/>
    </row>
    <row r="18" spans="1:13" ht="19.8" thickBot="1">
      <c r="A18" s="4"/>
      <c r="B18" s="37"/>
      <c r="C18" s="29" t="s">
        <v>20</v>
      </c>
      <c r="D18" s="47"/>
      <c r="E18" s="6"/>
      <c r="F18" s="49"/>
      <c r="G18" s="2"/>
      <c r="H18" s="21"/>
      <c r="I18" s="2"/>
      <c r="J18" s="41"/>
      <c r="K18" s="21"/>
      <c r="L18" s="52"/>
    </row>
    <row r="19" spans="1:13" ht="19.8" thickBot="1">
      <c r="A19" s="4"/>
      <c r="B19" s="4"/>
      <c r="C19" s="29" t="s">
        <v>21</v>
      </c>
      <c r="D19" s="47"/>
      <c r="E19" s="6"/>
      <c r="F19" s="49"/>
      <c r="G19" s="2"/>
      <c r="H19" s="21"/>
      <c r="I19" s="2"/>
      <c r="J19" s="41"/>
      <c r="K19" s="21"/>
      <c r="L19" s="52"/>
    </row>
    <row r="20" spans="1:13" ht="19.8" thickBot="1">
      <c r="A20" s="4"/>
      <c r="B20" s="4"/>
      <c r="C20" s="29" t="s">
        <v>22</v>
      </c>
      <c r="D20" s="47"/>
      <c r="E20" s="6"/>
      <c r="F20" s="49"/>
      <c r="G20" s="2"/>
      <c r="H20" s="21"/>
      <c r="I20" s="2"/>
      <c r="J20" s="41"/>
      <c r="K20" s="21"/>
      <c r="L20" s="52"/>
    </row>
    <row r="21" spans="1:13" ht="19.8" thickBot="1">
      <c r="A21" s="4"/>
      <c r="B21" s="34"/>
      <c r="C21" s="29" t="s">
        <v>23</v>
      </c>
      <c r="D21" s="47"/>
      <c r="E21" s="6"/>
      <c r="F21" s="49"/>
      <c r="G21" s="2"/>
      <c r="H21" s="21"/>
      <c r="I21" s="2"/>
      <c r="J21" s="41"/>
      <c r="K21" s="21"/>
      <c r="L21" s="52"/>
    </row>
    <row r="22" spans="1:13" ht="19.8" thickBot="1">
      <c r="A22" s="4"/>
      <c r="B22" s="4"/>
      <c r="C22" s="29" t="s">
        <v>70</v>
      </c>
      <c r="D22" s="47"/>
      <c r="E22" s="6"/>
      <c r="F22" s="49"/>
      <c r="G22" s="2"/>
      <c r="H22" s="21"/>
      <c r="I22" s="2"/>
      <c r="J22" s="41"/>
      <c r="K22" s="21"/>
      <c r="L22" s="52"/>
    </row>
    <row r="23" spans="1:13" ht="19.8" thickBot="1">
      <c r="A23" s="4"/>
      <c r="B23" s="4"/>
      <c r="C23" s="29" t="s">
        <v>27</v>
      </c>
      <c r="D23" s="47"/>
      <c r="E23" s="6"/>
      <c r="F23" s="49"/>
      <c r="G23" s="2"/>
      <c r="H23" s="21"/>
      <c r="I23" s="2"/>
      <c r="J23" s="41"/>
      <c r="K23" s="21"/>
      <c r="L23" s="52"/>
    </row>
    <row r="24" spans="1:13" ht="19.8" thickBot="1">
      <c r="A24" s="4"/>
      <c r="B24" s="4"/>
      <c r="C24" s="29" t="s">
        <v>28</v>
      </c>
      <c r="D24" s="47"/>
      <c r="E24" s="6"/>
      <c r="F24" s="49"/>
      <c r="G24" s="2"/>
      <c r="H24" s="21"/>
      <c r="I24" s="2"/>
      <c r="J24" s="41"/>
      <c r="K24" s="21"/>
      <c r="L24" s="52"/>
    </row>
    <row r="25" spans="1:13" ht="19.8" thickBot="1">
      <c r="A25" s="4"/>
      <c r="B25" s="4"/>
      <c r="C25" s="29" t="s">
        <v>29</v>
      </c>
      <c r="D25" s="47"/>
      <c r="E25" s="6"/>
      <c r="F25" s="49"/>
      <c r="G25" s="2"/>
      <c r="H25" s="21"/>
      <c r="I25" s="2"/>
      <c r="J25" s="41"/>
      <c r="K25" s="21"/>
      <c r="L25" s="52"/>
    </row>
    <row r="26" spans="1:13" ht="19.8" thickBot="1">
      <c r="A26" s="4"/>
      <c r="B26" s="4"/>
      <c r="C26" s="29" t="s">
        <v>76</v>
      </c>
      <c r="D26" s="47"/>
      <c r="E26" s="6"/>
      <c r="F26" s="49"/>
      <c r="G26" s="2"/>
      <c r="H26" s="16"/>
      <c r="I26" s="2"/>
      <c r="J26" s="41"/>
      <c r="K26" s="21"/>
      <c r="L26" s="52"/>
      <c r="M26" s="2"/>
    </row>
    <row r="27" spans="1:13" ht="19.8" thickBot="1">
      <c r="A27" s="4"/>
      <c r="B27" s="4"/>
      <c r="C27" s="29" t="s">
        <v>30</v>
      </c>
      <c r="D27" s="47"/>
      <c r="E27" s="6"/>
      <c r="F27" s="49"/>
      <c r="G27" s="2"/>
      <c r="H27" s="16"/>
      <c r="I27" s="2"/>
      <c r="J27" s="41"/>
      <c r="K27" s="21"/>
      <c r="L27" s="52"/>
    </row>
    <row r="28" spans="1:13" ht="19.8" thickBot="1">
      <c r="A28" s="4"/>
      <c r="B28" s="4"/>
      <c r="C28" s="29" t="s">
        <v>31</v>
      </c>
      <c r="D28" s="47"/>
      <c r="E28" s="6"/>
      <c r="F28" s="49"/>
      <c r="G28" s="2"/>
      <c r="H28" s="16"/>
      <c r="I28" s="2"/>
      <c r="J28" s="41"/>
      <c r="K28" s="21"/>
      <c r="L28" s="52"/>
    </row>
    <row r="29" spans="1:13" ht="19.8" thickBot="1">
      <c r="A29" s="4"/>
      <c r="B29" s="4"/>
      <c r="C29" s="29" t="s">
        <v>32</v>
      </c>
      <c r="D29" s="47"/>
      <c r="E29" s="6"/>
      <c r="F29" s="49"/>
      <c r="G29" s="2"/>
      <c r="H29" s="16"/>
      <c r="I29" s="2"/>
      <c r="J29" s="41"/>
      <c r="K29" s="21"/>
      <c r="L29" s="52"/>
    </row>
    <row r="30" spans="1:13" ht="19.8" thickBot="1">
      <c r="A30" s="4"/>
      <c r="B30" s="4"/>
      <c r="C30" s="29" t="s">
        <v>33</v>
      </c>
      <c r="D30" s="47"/>
      <c r="E30" s="6"/>
      <c r="F30" s="49"/>
      <c r="G30" s="2"/>
      <c r="H30" s="16"/>
      <c r="I30" s="2"/>
      <c r="J30" s="41"/>
      <c r="K30" s="21"/>
      <c r="L30" s="52"/>
    </row>
    <row r="31" spans="1:13" ht="19.8" thickBot="1">
      <c r="A31" s="4"/>
      <c r="B31" s="4"/>
      <c r="C31" s="29" t="s">
        <v>34</v>
      </c>
      <c r="D31" s="47"/>
      <c r="E31" s="6"/>
      <c r="F31" s="49"/>
      <c r="G31" s="2"/>
      <c r="H31" s="16"/>
      <c r="I31" s="2"/>
      <c r="J31" s="41"/>
      <c r="K31" s="21"/>
      <c r="L31" s="54"/>
    </row>
    <row r="32" spans="1:13" ht="19.8" thickBot="1">
      <c r="A32" s="4"/>
      <c r="B32" s="4"/>
      <c r="C32" s="29" t="s">
        <v>71</v>
      </c>
      <c r="D32" s="47"/>
      <c r="E32" s="6"/>
      <c r="F32" s="49"/>
      <c r="G32" s="2"/>
      <c r="H32" s="16"/>
      <c r="I32" s="2"/>
      <c r="J32" s="41"/>
      <c r="K32" s="21"/>
      <c r="L32" s="52"/>
    </row>
    <row r="33" spans="1:12" ht="19.8" thickBot="1">
      <c r="A33" s="4"/>
      <c r="B33" s="4"/>
      <c r="C33" s="29" t="s">
        <v>35</v>
      </c>
      <c r="D33" s="47"/>
      <c r="E33" s="6"/>
      <c r="F33" s="13"/>
      <c r="G33" s="2"/>
      <c r="H33" s="16"/>
      <c r="I33" s="2"/>
      <c r="J33" s="41"/>
      <c r="K33" s="21"/>
    </row>
    <row r="34" spans="1:12" ht="19.8" thickBot="1">
      <c r="A34" s="4"/>
      <c r="B34" s="4"/>
      <c r="C34" s="29" t="s">
        <v>36</v>
      </c>
      <c r="D34" s="47"/>
      <c r="E34" s="6"/>
      <c r="F34" s="49"/>
      <c r="G34" s="2"/>
      <c r="H34" s="16"/>
      <c r="I34" s="2"/>
      <c r="J34" s="41"/>
      <c r="K34" s="21"/>
      <c r="L34" s="52"/>
    </row>
    <row r="35" spans="1:12" ht="19.8" thickBot="1">
      <c r="A35" s="4"/>
      <c r="B35" s="4"/>
      <c r="C35" s="29" t="s">
        <v>37</v>
      </c>
      <c r="D35" s="47"/>
      <c r="E35" s="6"/>
      <c r="F35" s="49"/>
      <c r="G35" s="2"/>
      <c r="H35" s="16"/>
      <c r="I35" s="2"/>
      <c r="J35" s="41"/>
      <c r="K35" s="21"/>
    </row>
    <row r="36" spans="1:12" ht="19.8" thickBot="1">
      <c r="A36" s="4"/>
      <c r="B36" s="4"/>
      <c r="C36" s="29" t="s">
        <v>38</v>
      </c>
      <c r="D36" s="47"/>
      <c r="E36" s="6"/>
      <c r="F36" s="49"/>
      <c r="G36" s="2"/>
      <c r="H36" s="16"/>
      <c r="I36" s="2"/>
      <c r="J36" s="41"/>
      <c r="K36" s="21"/>
    </row>
    <row r="37" spans="1:12" ht="19.8" thickBot="1">
      <c r="A37" s="4"/>
      <c r="B37" s="4"/>
      <c r="C37" s="29" t="s">
        <v>39</v>
      </c>
      <c r="D37" s="47"/>
      <c r="E37" s="6"/>
      <c r="F37" s="49"/>
      <c r="G37" s="2"/>
      <c r="H37" s="16"/>
      <c r="I37" s="2"/>
      <c r="J37" s="41"/>
      <c r="K37" s="21"/>
    </row>
    <row r="38" spans="1:12" ht="19.8" thickBot="1">
      <c r="A38" s="4"/>
      <c r="B38" s="4"/>
      <c r="C38" s="29" t="s">
        <v>40</v>
      </c>
      <c r="D38" s="47"/>
      <c r="E38" s="6"/>
      <c r="F38" s="49"/>
      <c r="G38" s="2"/>
      <c r="H38" s="16"/>
      <c r="I38" s="2"/>
      <c r="J38" s="41"/>
      <c r="K38" s="21"/>
    </row>
    <row r="39" spans="1:12" ht="19.8" thickBot="1">
      <c r="A39" s="4"/>
      <c r="B39" s="4"/>
      <c r="C39" s="29" t="s">
        <v>41</v>
      </c>
      <c r="D39" s="47"/>
      <c r="E39" s="6"/>
      <c r="F39" s="49"/>
      <c r="G39" s="2"/>
      <c r="H39" s="16"/>
      <c r="I39" s="2"/>
      <c r="J39" s="41"/>
      <c r="K39" s="21"/>
    </row>
    <row r="40" spans="1:12" ht="19.8" thickBot="1">
      <c r="A40" s="4"/>
      <c r="B40" s="4"/>
      <c r="C40" s="29" t="s">
        <v>42</v>
      </c>
      <c r="D40" s="47"/>
      <c r="E40" s="6"/>
      <c r="F40" s="13"/>
      <c r="G40" s="2"/>
      <c r="H40" s="16"/>
      <c r="I40" s="2"/>
      <c r="J40" s="41"/>
      <c r="K40" s="21"/>
    </row>
    <row r="41" spans="1:12" ht="19.8" thickBot="1">
      <c r="A41" s="4"/>
      <c r="B41" s="4"/>
      <c r="C41" s="29" t="s">
        <v>43</v>
      </c>
      <c r="D41" s="47"/>
      <c r="E41" s="6"/>
      <c r="F41" s="13"/>
      <c r="G41" s="2"/>
      <c r="H41" s="16"/>
      <c r="I41" s="2"/>
      <c r="J41" s="41"/>
      <c r="K41" s="21"/>
    </row>
    <row r="42" spans="1:12" ht="19.8" thickBot="1">
      <c r="A42" s="4"/>
      <c r="B42" s="4"/>
      <c r="C42" s="30" t="s">
        <v>72</v>
      </c>
      <c r="D42" s="47"/>
      <c r="E42" s="6"/>
      <c r="F42" s="13"/>
      <c r="G42" s="2"/>
      <c r="H42" s="16"/>
      <c r="I42" s="2"/>
      <c r="J42" s="41"/>
      <c r="K42" s="21"/>
    </row>
    <row r="43" spans="1:12" ht="19.8" thickBot="1">
      <c r="A43" s="4"/>
      <c r="B43" s="4"/>
      <c r="C43" s="30" t="s">
        <v>44</v>
      </c>
      <c r="D43" s="47"/>
      <c r="E43" s="4"/>
      <c r="F43" s="2"/>
      <c r="G43" s="2"/>
      <c r="H43" s="16"/>
      <c r="I43" s="2"/>
      <c r="J43" s="41"/>
      <c r="K43" s="21"/>
    </row>
    <row r="44" spans="1:12" ht="19.8" thickBot="1">
      <c r="A44" s="4"/>
      <c r="B44" s="4"/>
      <c r="C44" s="30" t="s">
        <v>45</v>
      </c>
      <c r="D44" s="47"/>
      <c r="E44" s="7"/>
      <c r="F44" s="13"/>
      <c r="G44" s="2"/>
      <c r="H44" s="16"/>
      <c r="I44" s="2"/>
      <c r="J44" s="41"/>
      <c r="K44" s="21"/>
    </row>
    <row r="45" spans="1:12" ht="19.8" thickBot="1">
      <c r="A45" s="4"/>
      <c r="B45" s="4"/>
      <c r="C45" s="30" t="s">
        <v>46</v>
      </c>
      <c r="D45" s="47"/>
      <c r="E45" s="7"/>
      <c r="F45" s="13"/>
      <c r="G45" s="2"/>
      <c r="H45" s="16"/>
      <c r="I45" s="2"/>
      <c r="J45" s="41"/>
      <c r="K45" s="21"/>
    </row>
    <row r="46" spans="1:12" ht="19.8" thickBot="1">
      <c r="A46" s="4"/>
      <c r="B46" s="4"/>
      <c r="C46" s="30" t="s">
        <v>47</v>
      </c>
      <c r="D46" s="47"/>
      <c r="E46" s="7"/>
      <c r="F46" s="13"/>
      <c r="G46" s="2"/>
      <c r="H46" s="16"/>
      <c r="I46" s="2"/>
      <c r="J46" s="41"/>
      <c r="K46" s="21"/>
    </row>
    <row r="47" spans="1:12" ht="19.8" thickBot="1">
      <c r="A47" s="4"/>
      <c r="B47" s="4"/>
      <c r="C47" s="30" t="s">
        <v>48</v>
      </c>
      <c r="D47" s="47"/>
      <c r="E47" s="7"/>
      <c r="F47" s="13"/>
      <c r="G47" s="2"/>
      <c r="H47" s="16"/>
      <c r="I47" s="2"/>
      <c r="J47" s="41"/>
      <c r="K47" s="21"/>
    </row>
    <row r="48" spans="1:12" ht="19.8" thickBot="1">
      <c r="A48" s="4"/>
      <c r="B48" s="4"/>
      <c r="C48" s="30" t="s">
        <v>49</v>
      </c>
      <c r="D48" s="47"/>
      <c r="E48" s="7"/>
      <c r="F48" s="13"/>
      <c r="G48" s="2"/>
      <c r="H48" s="16"/>
      <c r="I48" s="2"/>
      <c r="J48" s="41"/>
      <c r="K48" s="21"/>
    </row>
    <row r="49" spans="1:21" ht="19.8" thickBot="1">
      <c r="A49" s="4"/>
      <c r="B49" s="4"/>
      <c r="C49" s="30" t="s">
        <v>50</v>
      </c>
      <c r="D49" s="47"/>
      <c r="E49" s="7"/>
      <c r="F49" s="13"/>
      <c r="G49" s="2"/>
      <c r="H49" s="16"/>
      <c r="I49" s="2"/>
      <c r="J49" s="41"/>
      <c r="K49" s="21"/>
    </row>
    <row r="50" spans="1:21" ht="19.8" thickBot="1">
      <c r="A50" s="4"/>
      <c r="B50" s="4"/>
      <c r="C50" s="30" t="s">
        <v>51</v>
      </c>
      <c r="D50" s="47"/>
      <c r="E50" s="7"/>
      <c r="F50" s="13"/>
      <c r="G50" s="2"/>
      <c r="H50" s="16"/>
      <c r="I50" s="2"/>
      <c r="J50" s="41"/>
      <c r="K50" s="21"/>
    </row>
    <row r="51" spans="1:21" ht="19.8" thickBot="1">
      <c r="A51" s="4"/>
      <c r="B51" s="4"/>
      <c r="C51" s="30" t="s">
        <v>52</v>
      </c>
      <c r="D51" s="47"/>
      <c r="E51" s="13"/>
      <c r="F51" s="13"/>
      <c r="G51" s="2"/>
      <c r="H51" s="16"/>
      <c r="I51" s="2"/>
      <c r="J51" s="41"/>
      <c r="K51" s="16"/>
    </row>
    <row r="52" spans="1:21" ht="19.8" thickBot="1">
      <c r="A52" s="4"/>
      <c r="B52" s="4"/>
      <c r="C52" s="30" t="s">
        <v>213</v>
      </c>
      <c r="D52" s="5"/>
      <c r="E52" s="7"/>
      <c r="F52" s="13"/>
      <c r="G52" s="2"/>
      <c r="H52" s="16"/>
      <c r="I52" s="2"/>
      <c r="J52" s="41"/>
      <c r="K52" s="21"/>
    </row>
    <row r="53" spans="1:21" ht="19.8" thickBot="1">
      <c r="A53" s="4"/>
      <c r="B53" s="4"/>
      <c r="C53" s="30" t="s">
        <v>214</v>
      </c>
      <c r="D53" s="5"/>
      <c r="E53" s="3"/>
      <c r="G53" s="2"/>
      <c r="H53" s="16"/>
      <c r="I53" s="2"/>
      <c r="J53" s="41"/>
      <c r="K53" s="21"/>
    </row>
    <row r="54" spans="1:21" ht="19.8" thickBot="1">
      <c r="A54" s="4"/>
      <c r="B54" s="4"/>
      <c r="C54" s="30" t="s">
        <v>215</v>
      </c>
      <c r="D54" s="5"/>
      <c r="E54" s="7"/>
      <c r="F54" s="13"/>
      <c r="G54" s="2"/>
      <c r="H54" s="16"/>
      <c r="I54" s="2"/>
      <c r="J54" s="41"/>
      <c r="K54" s="21"/>
    </row>
    <row r="55" spans="1:21" ht="19.8" thickBot="1">
      <c r="A55" s="4"/>
      <c r="B55" s="4"/>
      <c r="C55" s="30" t="s">
        <v>216</v>
      </c>
      <c r="D55" s="5"/>
      <c r="E55" s="7"/>
      <c r="F55" s="13"/>
      <c r="G55" s="2"/>
      <c r="H55" s="16"/>
      <c r="I55" s="2"/>
      <c r="J55" s="41"/>
      <c r="K55" s="21"/>
    </row>
    <row r="56" spans="1:21" ht="19.8" thickBot="1">
      <c r="A56" s="4"/>
      <c r="B56" s="4"/>
      <c r="C56" s="30" t="s">
        <v>217</v>
      </c>
      <c r="D56" s="5"/>
      <c r="E56" s="7"/>
      <c r="F56" s="13"/>
      <c r="G56" s="2"/>
      <c r="H56" s="16"/>
      <c r="I56" s="2"/>
      <c r="J56" s="41"/>
      <c r="K56" s="21"/>
    </row>
    <row r="57" spans="1:21" ht="19.8" thickBot="1">
      <c r="A57" s="4"/>
      <c r="B57" s="4"/>
      <c r="C57" s="30" t="s">
        <v>218</v>
      </c>
      <c r="D57" s="5"/>
      <c r="E57" s="7"/>
      <c r="F57" s="13"/>
      <c r="G57" s="2"/>
      <c r="H57" s="16"/>
      <c r="I57" s="2"/>
      <c r="J57" s="41"/>
      <c r="K57" s="21"/>
    </row>
    <row r="58" spans="1:21" ht="19.8" thickBot="1">
      <c r="A58" s="4"/>
      <c r="B58" s="9"/>
      <c r="C58" s="30" t="s">
        <v>219</v>
      </c>
      <c r="D58" s="5"/>
      <c r="E58" s="7"/>
      <c r="F58" s="13"/>
      <c r="G58" s="2"/>
      <c r="H58" s="16"/>
      <c r="I58" s="2"/>
      <c r="J58" s="41"/>
      <c r="K58" s="21"/>
    </row>
    <row r="59" spans="1:21" ht="19.8" thickBot="1">
      <c r="A59" s="4"/>
      <c r="B59" s="4"/>
      <c r="C59" s="30" t="s">
        <v>220</v>
      </c>
      <c r="D59" s="5"/>
      <c r="E59" s="7"/>
      <c r="F59" s="13"/>
      <c r="G59" s="2"/>
      <c r="H59" s="16"/>
      <c r="I59" s="2"/>
      <c r="J59" s="41"/>
      <c r="K59" s="21"/>
    </row>
    <row r="60" spans="1:21" ht="19.8" thickBot="1">
      <c r="A60" s="4"/>
      <c r="B60" s="4"/>
      <c r="C60" s="30" t="s">
        <v>221</v>
      </c>
      <c r="D60" s="5"/>
      <c r="E60" s="7"/>
      <c r="F60" s="13"/>
      <c r="G60" s="2"/>
      <c r="H60" s="16"/>
      <c r="I60" s="2"/>
      <c r="J60" s="41"/>
      <c r="K60" s="21"/>
    </row>
    <row r="61" spans="1:21" ht="19.8" thickBot="1">
      <c r="A61" s="4"/>
      <c r="B61" s="4"/>
      <c r="C61" s="30"/>
      <c r="D61" s="5"/>
      <c r="E61" s="7"/>
      <c r="F61" s="13"/>
      <c r="G61" s="2"/>
      <c r="H61" s="16"/>
      <c r="I61" s="2"/>
      <c r="J61" s="41"/>
      <c r="K61" s="16"/>
      <c r="O61" s="69"/>
      <c r="P61" s="69"/>
      <c r="Q61" s="69"/>
      <c r="R61" s="69"/>
      <c r="S61" s="69"/>
    </row>
    <row r="62" spans="1:21" ht="19.8" thickBot="1">
      <c r="A62" s="4"/>
      <c r="B62" s="4"/>
      <c r="C62" s="30"/>
      <c r="D62" s="5"/>
      <c r="E62" s="3"/>
      <c r="G62" s="2"/>
      <c r="H62" s="16"/>
      <c r="I62" s="2"/>
      <c r="J62" s="41"/>
      <c r="K62" s="16"/>
    </row>
    <row r="63" spans="1:21" ht="19.8" thickBot="1">
      <c r="A63" s="4"/>
      <c r="B63" s="4"/>
      <c r="C63" s="30"/>
      <c r="D63" s="5"/>
      <c r="E63" s="3"/>
      <c r="G63" s="2"/>
      <c r="H63" s="16"/>
      <c r="I63" s="2"/>
      <c r="J63" s="41"/>
      <c r="K63" s="16"/>
      <c r="O63" s="68"/>
      <c r="P63" s="68"/>
      <c r="Q63" s="68"/>
      <c r="R63" s="79"/>
      <c r="S63" s="68"/>
      <c r="T63" s="68"/>
      <c r="U63" s="68"/>
    </row>
    <row r="64" spans="1:21" ht="19.8" thickBot="1">
      <c r="A64" s="4"/>
      <c r="B64" s="4"/>
      <c r="C64" s="30"/>
      <c r="D64" s="5"/>
      <c r="E64" s="3"/>
      <c r="G64" s="2"/>
      <c r="H64" s="16"/>
      <c r="I64" s="2"/>
      <c r="J64" s="41"/>
      <c r="K64" s="16"/>
    </row>
    <row r="65" spans="1:19" ht="19.8" thickBot="1">
      <c r="A65" s="4"/>
      <c r="B65" s="4"/>
      <c r="C65" s="30"/>
      <c r="D65" s="5"/>
      <c r="E65" s="3"/>
      <c r="G65" s="2"/>
      <c r="H65" s="16"/>
      <c r="I65" s="2"/>
      <c r="J65" s="41"/>
      <c r="K65" s="16"/>
    </row>
    <row r="66" spans="1:19" ht="19.8" thickBot="1">
      <c r="A66" s="4"/>
      <c r="B66" s="4"/>
      <c r="C66" s="30"/>
      <c r="D66" s="5"/>
      <c r="E66" s="3"/>
      <c r="G66" s="2"/>
      <c r="H66" s="16"/>
      <c r="I66" s="2"/>
      <c r="J66" s="41"/>
      <c r="K66" s="18"/>
      <c r="Q66" s="68"/>
      <c r="S66" s="79"/>
    </row>
    <row r="67" spans="1:19" ht="19.8" thickBot="1">
      <c r="A67" s="4"/>
      <c r="B67" s="4"/>
      <c r="C67" s="30"/>
      <c r="D67" s="5"/>
      <c r="E67" s="3"/>
      <c r="G67" s="2"/>
      <c r="H67" s="16"/>
      <c r="I67" s="2"/>
      <c r="J67" s="41"/>
      <c r="K67" s="18"/>
    </row>
    <row r="68" spans="1:19" ht="19.8" thickBot="1">
      <c r="A68" s="4"/>
      <c r="B68" s="4"/>
      <c r="C68" s="30"/>
      <c r="D68" s="5"/>
      <c r="E68" s="3"/>
      <c r="G68" s="2"/>
      <c r="H68" s="16"/>
      <c r="I68" s="2"/>
      <c r="J68" s="41"/>
      <c r="K68" s="18"/>
    </row>
    <row r="69" spans="1:19" ht="19.8" thickBot="1">
      <c r="A69" s="4"/>
      <c r="B69" s="4"/>
      <c r="C69" s="30"/>
      <c r="D69" s="22"/>
      <c r="E69" s="23"/>
      <c r="F69" s="26"/>
      <c r="G69" s="24"/>
      <c r="H69" s="17"/>
      <c r="I69" s="24"/>
      <c r="J69" s="41"/>
      <c r="K69" s="19"/>
    </row>
    <row r="70" spans="1:19">
      <c r="A70" s="2"/>
      <c r="B70" s="2"/>
      <c r="C70" s="30"/>
      <c r="D70" s="11"/>
      <c r="G70" s="2"/>
      <c r="H70" s="12"/>
      <c r="I70" s="2"/>
      <c r="J70" s="42"/>
      <c r="K70" s="45"/>
    </row>
    <row r="71" spans="1:19">
      <c r="A71" s="2"/>
      <c r="B71" s="2"/>
      <c r="C71" s="30"/>
      <c r="D71" s="11"/>
      <c r="G71" s="2"/>
      <c r="H71" s="12"/>
      <c r="I71" s="2"/>
      <c r="J71" s="42"/>
      <c r="K71" s="45"/>
    </row>
    <row r="72" spans="1:19">
      <c r="A72" s="2"/>
      <c r="B72" s="2"/>
      <c r="C72" s="31"/>
      <c r="D72" s="11"/>
      <c r="G72" s="2"/>
      <c r="H72" s="12"/>
      <c r="I72" s="2"/>
      <c r="J72" s="42"/>
      <c r="K72" s="45"/>
    </row>
    <row r="73" spans="1:19">
      <c r="A73" s="2"/>
      <c r="B73" s="2"/>
      <c r="C73" s="31"/>
      <c r="D73" s="11"/>
      <c r="G73" s="2"/>
      <c r="H73" s="12"/>
      <c r="I73" s="2"/>
      <c r="J73" s="42"/>
      <c r="K73" s="45"/>
    </row>
    <row r="74" spans="1:19">
      <c r="A74" s="2"/>
      <c r="B74" s="2"/>
      <c r="C74" s="31"/>
      <c r="D74" s="11"/>
      <c r="G74" s="2"/>
      <c r="H74" s="12"/>
      <c r="I74" s="2"/>
      <c r="J74" s="42"/>
      <c r="K74" s="45"/>
    </row>
    <row r="75" spans="1:19">
      <c r="A75" s="2"/>
      <c r="B75" s="2"/>
      <c r="C75" s="31"/>
      <c r="D75" s="11"/>
      <c r="G75" s="2"/>
      <c r="H75" s="12"/>
      <c r="I75" s="2"/>
      <c r="J75" s="42"/>
      <c r="K75" s="45"/>
    </row>
    <row r="76" spans="1:19">
      <c r="A76" s="2"/>
      <c r="B76" s="2"/>
      <c r="C76" s="31"/>
      <c r="D76" s="11"/>
      <c r="G76" s="2"/>
      <c r="H76" s="12"/>
      <c r="I76" s="2"/>
      <c r="J76" s="42"/>
      <c r="K76" s="45"/>
    </row>
    <row r="77" spans="1:19">
      <c r="A77" s="2"/>
      <c r="B77" s="2"/>
      <c r="C77" s="31"/>
      <c r="D77" s="11"/>
      <c r="G77" s="2"/>
      <c r="H77" s="12"/>
      <c r="I77" s="2"/>
      <c r="J77" s="42"/>
      <c r="K77" s="45"/>
    </row>
    <row r="78" spans="1:19">
      <c r="A78" s="2"/>
      <c r="B78" s="2"/>
      <c r="C78" s="31"/>
      <c r="D78" s="11"/>
      <c r="G78" s="2"/>
      <c r="H78" s="12"/>
      <c r="I78" s="2"/>
      <c r="J78" s="42"/>
      <c r="K78" s="45"/>
    </row>
    <row r="79" spans="1:19">
      <c r="A79" s="2"/>
      <c r="B79" s="2"/>
      <c r="C79" s="31"/>
      <c r="D79" s="11"/>
      <c r="G79" s="2"/>
      <c r="H79" s="12"/>
      <c r="I79" s="2"/>
      <c r="J79" s="42"/>
      <c r="K79" s="45"/>
    </row>
    <row r="80" spans="1:19">
      <c r="A80" s="2"/>
      <c r="B80" s="2"/>
      <c r="C80" s="31"/>
      <c r="D80" s="11"/>
      <c r="G80" s="2"/>
      <c r="H80" s="12"/>
      <c r="I80" s="2"/>
      <c r="J80" s="42"/>
      <c r="K80" s="45"/>
    </row>
    <row r="81" spans="1:11">
      <c r="A81" s="2"/>
      <c r="B81" s="2"/>
      <c r="C81" s="31"/>
      <c r="D81" s="11"/>
      <c r="G81" s="2"/>
      <c r="H81" s="12"/>
      <c r="I81" s="2"/>
      <c r="J81" s="42"/>
      <c r="K81" s="45"/>
    </row>
    <row r="82" spans="1:11">
      <c r="A82" s="2"/>
      <c r="B82" s="2"/>
      <c r="C82" s="31"/>
      <c r="D82" s="11"/>
      <c r="G82" s="2"/>
      <c r="H82" s="12"/>
      <c r="I82" s="2"/>
      <c r="J82" s="42"/>
      <c r="K82" s="45"/>
    </row>
    <row r="83" spans="1:11">
      <c r="A83" s="2"/>
      <c r="B83" s="2"/>
      <c r="C83" s="31"/>
      <c r="D83" s="11"/>
      <c r="G83" s="2"/>
      <c r="H83" s="12"/>
      <c r="I83" s="2"/>
      <c r="J83" s="42"/>
      <c r="K83" s="45"/>
    </row>
    <row r="84" spans="1:11">
      <c r="A84" s="2"/>
      <c r="B84" s="2"/>
      <c r="C84" s="31"/>
      <c r="D84" s="11"/>
      <c r="G84" s="2"/>
      <c r="H84" s="12"/>
      <c r="I84" s="2"/>
      <c r="J84" s="42"/>
      <c r="K84" s="45"/>
    </row>
    <row r="85" spans="1:11">
      <c r="A85" s="2"/>
      <c r="B85" s="2"/>
      <c r="C85" s="31"/>
      <c r="D85" s="11"/>
      <c r="G85" s="2"/>
      <c r="H85" s="12"/>
      <c r="I85" s="2"/>
      <c r="J85" s="42"/>
      <c r="K85" s="45"/>
    </row>
    <row r="86" spans="1:11">
      <c r="A86" s="2"/>
      <c r="B86" s="2"/>
      <c r="C86" s="31"/>
      <c r="D86" s="11"/>
      <c r="G86" s="2"/>
      <c r="H86" s="12"/>
      <c r="I86" s="2"/>
      <c r="J86" s="42"/>
      <c r="K86" s="45"/>
    </row>
    <row r="87" spans="1:11">
      <c r="A87" s="2"/>
      <c r="B87" s="2"/>
      <c r="C87" s="31"/>
      <c r="D87" s="11"/>
      <c r="G87" s="2"/>
      <c r="H87" s="12"/>
      <c r="I87" s="2"/>
      <c r="J87" s="42"/>
      <c r="K87" s="45"/>
    </row>
    <row r="88" spans="1:11">
      <c r="A88" s="2"/>
      <c r="B88" s="2"/>
      <c r="C88" s="31"/>
      <c r="D88" s="11"/>
      <c r="G88" s="2"/>
      <c r="H88" s="12"/>
      <c r="I88" s="2"/>
      <c r="J88" s="42"/>
      <c r="K88" s="45"/>
    </row>
    <row r="89" spans="1:11">
      <c r="A89" s="2"/>
      <c r="B89" s="2"/>
      <c r="C89" s="31"/>
      <c r="D89" s="11"/>
      <c r="G89" s="2"/>
      <c r="H89" s="12"/>
      <c r="I89" s="2"/>
      <c r="J89" s="42"/>
      <c r="K89" s="45"/>
    </row>
    <row r="90" spans="1:11">
      <c r="A90" s="2"/>
      <c r="B90" s="2"/>
      <c r="C90" s="31"/>
      <c r="D90" s="11"/>
      <c r="G90" s="2"/>
      <c r="H90" s="12"/>
      <c r="I90" s="2"/>
      <c r="J90" s="42"/>
      <c r="K90" s="45"/>
    </row>
    <row r="91" spans="1:11">
      <c r="A91" s="2"/>
      <c r="B91" s="2"/>
      <c r="C91" s="31"/>
      <c r="D91" s="11"/>
      <c r="G91" s="2"/>
      <c r="H91" s="12"/>
      <c r="I91" s="2"/>
      <c r="J91" s="42"/>
      <c r="K91" s="45"/>
    </row>
    <row r="92" spans="1:11">
      <c r="A92" s="2"/>
      <c r="B92" s="2"/>
      <c r="C92" s="31"/>
      <c r="D92" s="11"/>
      <c r="G92" s="2"/>
      <c r="H92" s="12"/>
      <c r="I92" s="2"/>
      <c r="J92" s="42"/>
      <c r="K92" s="45"/>
    </row>
    <row r="93" spans="1:11">
      <c r="A93" s="2"/>
      <c r="B93" s="2"/>
      <c r="C93" s="31"/>
      <c r="D93" s="11"/>
      <c r="G93" s="2"/>
      <c r="H93" s="12"/>
      <c r="I93" s="2"/>
      <c r="J93" s="42"/>
      <c r="K93" s="45"/>
    </row>
    <row r="94" spans="1:11">
      <c r="A94" s="2"/>
      <c r="B94" s="2"/>
      <c r="C94" s="31"/>
      <c r="D94" s="11"/>
      <c r="G94" s="2"/>
      <c r="H94" s="12"/>
      <c r="I94" s="2"/>
      <c r="J94" s="42"/>
      <c r="K94" s="45"/>
    </row>
    <row r="95" spans="1:11">
      <c r="A95" s="2"/>
      <c r="B95" s="2"/>
      <c r="C95" s="31"/>
      <c r="D95" s="11"/>
      <c r="G95" s="2"/>
      <c r="H95" s="12"/>
      <c r="I95" s="2"/>
      <c r="J95" s="42"/>
      <c r="K95" s="45"/>
    </row>
    <row r="96" spans="1:11">
      <c r="A96" s="2"/>
      <c r="B96" s="2"/>
      <c r="C96" s="31"/>
      <c r="D96" s="11"/>
      <c r="G96" s="2"/>
      <c r="H96" s="12"/>
      <c r="I96" s="2"/>
      <c r="J96" s="42"/>
      <c r="K96" s="45"/>
    </row>
    <row r="97" spans="1:11">
      <c r="A97" s="2"/>
      <c r="B97" s="2"/>
      <c r="C97" s="31"/>
      <c r="D97" s="11"/>
      <c r="G97" s="2"/>
      <c r="H97" s="12"/>
      <c r="I97" s="2"/>
      <c r="J97" s="42"/>
      <c r="K97" s="45"/>
    </row>
    <row r="98" spans="1:11">
      <c r="A98" s="2"/>
      <c r="B98" s="2"/>
      <c r="C98" s="31"/>
      <c r="D98" s="11"/>
      <c r="G98" s="2"/>
      <c r="H98" s="12"/>
      <c r="I98" s="2"/>
      <c r="J98" s="42"/>
      <c r="K98" s="45"/>
    </row>
    <row r="99" spans="1:11">
      <c r="A99" s="2"/>
      <c r="B99" s="2"/>
      <c r="C99" s="31"/>
      <c r="D99" s="11"/>
      <c r="G99" s="2"/>
      <c r="H99" s="12"/>
      <c r="I99" s="2"/>
      <c r="J99" s="42"/>
      <c r="K99" s="45"/>
    </row>
    <row r="100" spans="1:11">
      <c r="A100" s="2"/>
      <c r="B100" s="2"/>
      <c r="C100" s="31"/>
      <c r="D100" s="11"/>
      <c r="G100" s="2"/>
      <c r="H100" s="12"/>
      <c r="I100" s="2"/>
      <c r="J100" s="42"/>
      <c r="K100" s="45"/>
    </row>
    <row r="101" spans="1:11">
      <c r="A101" s="2"/>
      <c r="B101" s="2"/>
      <c r="C101" s="31"/>
      <c r="D101" s="11"/>
      <c r="G101" s="2"/>
      <c r="H101" s="12"/>
      <c r="I101" s="2"/>
      <c r="J101" s="42"/>
      <c r="K101" s="45"/>
    </row>
    <row r="102" spans="1:11">
      <c r="B102" s="25"/>
      <c r="C102" s="31"/>
      <c r="D102" s="11"/>
      <c r="H102" s="12"/>
      <c r="I102" s="2"/>
      <c r="J102" s="42"/>
      <c r="K102" s="45"/>
    </row>
    <row r="103" spans="1:11">
      <c r="B103" s="25"/>
      <c r="C103" s="31"/>
      <c r="D103" s="11"/>
      <c r="H103" s="12"/>
      <c r="I103" s="2"/>
      <c r="J103" s="42"/>
      <c r="K103" s="45"/>
    </row>
    <row r="104" spans="1:11">
      <c r="B104" s="25"/>
      <c r="C104" s="31"/>
      <c r="D104" s="11"/>
      <c r="H104" s="12"/>
      <c r="I104" s="2"/>
      <c r="J104" s="42"/>
      <c r="K104" s="45"/>
    </row>
    <row r="105" spans="1:11">
      <c r="B105" s="25"/>
      <c r="C105" s="31"/>
      <c r="D105" s="11"/>
      <c r="H105" s="12"/>
      <c r="I105" s="2"/>
      <c r="J105" s="42"/>
      <c r="K105" s="45"/>
    </row>
    <row r="106" spans="1:11">
      <c r="B106" s="25"/>
      <c r="C106" s="31"/>
      <c r="D106" s="11"/>
      <c r="H106" s="12"/>
      <c r="I106" s="2"/>
      <c r="J106" s="42"/>
      <c r="K106" s="45"/>
    </row>
    <row r="107" spans="1:11">
      <c r="B107" s="25"/>
      <c r="C107" s="31"/>
      <c r="D107" s="11"/>
      <c r="H107" s="12"/>
      <c r="I107" s="2"/>
      <c r="J107" s="42"/>
      <c r="K107" s="45"/>
    </row>
    <row r="108" spans="1:11">
      <c r="B108" s="25"/>
      <c r="C108" s="31"/>
      <c r="D108" s="11"/>
      <c r="H108" s="12"/>
      <c r="I108" s="2"/>
      <c r="J108" s="42"/>
      <c r="K108" s="45"/>
    </row>
    <row r="109" spans="1:11">
      <c r="B109" s="25"/>
      <c r="C109" s="31"/>
      <c r="H109" s="12"/>
      <c r="I109" s="2"/>
      <c r="J109" s="42"/>
      <c r="K109" s="45"/>
    </row>
  </sheetData>
  <autoFilter ref="C1:C109" xr:uid="{B5AAC1F4-B88F-4EB3-8B2A-FC29A02AF761}"/>
  <phoneticPr fontId="3"/>
  <dataValidations count="2">
    <dataValidation type="whole" imeMode="disabled" operator="greaterThanOrEqual" allowBlank="1" showInputMessage="1" showErrorMessage="1" errorTitle="指値(円)" error="指値(円)は、2,000以上で入力してください。" sqref="H2:H109" xr:uid="{97A89877-6284-4FDD-8DE9-6BD514DD270D}">
      <formula1>2000</formula1>
    </dataValidation>
    <dataValidation type="textLength" allowBlank="1" showInputMessage="1" showErrorMessage="1" error="100文字以下で入力してください。" sqref="C2:C41 F2:F38 E2:E42 D2:D108" xr:uid="{B76961E1-78F9-4F5E-B61F-8001C1205313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39EB-4959-496E-9464-42AD1278A75A}">
  <dimension ref="A1:W141"/>
  <sheetViews>
    <sheetView tabSelected="1" topLeftCell="E1" workbookViewId="0">
      <selection activeCell="H107" sqref="H2:H107"/>
    </sheetView>
  </sheetViews>
  <sheetFormatPr defaultRowHeight="18"/>
  <cols>
    <col min="1" max="2" width="0" hidden="1" customWidth="1"/>
    <col min="4" max="4" width="13.8984375" customWidth="1"/>
    <col min="5" max="5" width="21.09765625" customWidth="1"/>
    <col min="6" max="6" width="18.3984375" customWidth="1"/>
    <col min="7" max="7" width="19.69921875" style="98" customWidth="1"/>
    <col min="8" max="8" width="11.3984375" customWidth="1"/>
    <col min="9" max="9" width="15.09765625" customWidth="1"/>
    <col min="10" max="10" width="9.59765625" customWidth="1"/>
    <col min="11" max="11" width="11.5" customWidth="1"/>
    <col min="12" max="12" width="15.09765625" customWidth="1"/>
    <col min="13" max="13" width="11.09765625" customWidth="1"/>
    <col min="14" max="14" width="27" customWidth="1"/>
  </cols>
  <sheetData>
    <row r="1" spans="1:23">
      <c r="A1" t="s">
        <v>25</v>
      </c>
      <c r="B1" t="s">
        <v>205</v>
      </c>
      <c r="C1" t="s">
        <v>6</v>
      </c>
      <c r="D1" t="s">
        <v>0</v>
      </c>
      <c r="E1" t="s">
        <v>62</v>
      </c>
      <c r="F1" t="s">
        <v>61</v>
      </c>
      <c r="G1" s="98" t="s">
        <v>3</v>
      </c>
      <c r="H1" t="s">
        <v>1</v>
      </c>
      <c r="I1" t="s">
        <v>206</v>
      </c>
      <c r="J1" t="s">
        <v>4</v>
      </c>
      <c r="K1" t="s">
        <v>24</v>
      </c>
      <c r="L1" t="s">
        <v>63</v>
      </c>
      <c r="M1" t="s">
        <v>276</v>
      </c>
      <c r="N1" t="s">
        <v>269</v>
      </c>
      <c r="O1" t="s">
        <v>270</v>
      </c>
      <c r="P1" t="s">
        <v>266</v>
      </c>
      <c r="Q1" t="s">
        <v>267</v>
      </c>
      <c r="R1" t="s">
        <v>268</v>
      </c>
      <c r="S1" t="s">
        <v>271</v>
      </c>
      <c r="T1" t="s">
        <v>272</v>
      </c>
      <c r="U1" t="s">
        <v>273</v>
      </c>
      <c r="W1" t="s">
        <v>274</v>
      </c>
    </row>
    <row r="2" spans="1:23">
      <c r="C2" t="s">
        <v>277</v>
      </c>
      <c r="D2" t="s">
        <v>353</v>
      </c>
      <c r="E2" t="s">
        <v>354</v>
      </c>
      <c r="F2" t="s">
        <v>355</v>
      </c>
      <c r="G2" s="99" t="s">
        <v>102</v>
      </c>
      <c r="H2">
        <f>J2*1.5</f>
        <v>1050000</v>
      </c>
      <c r="I2" t="s">
        <v>99</v>
      </c>
      <c r="J2">
        <v>700000</v>
      </c>
      <c r="K2">
        <f>J2*1.1</f>
        <v>770000.00000000012</v>
      </c>
      <c r="L2">
        <v>2346876</v>
      </c>
      <c r="N2" s="81"/>
    </row>
    <row r="3" spans="1:23">
      <c r="C3" t="s">
        <v>7</v>
      </c>
      <c r="D3" t="s">
        <v>353</v>
      </c>
      <c r="E3" t="s">
        <v>356</v>
      </c>
      <c r="F3" t="s">
        <v>357</v>
      </c>
      <c r="G3" s="98" t="s">
        <v>97</v>
      </c>
      <c r="H3">
        <f t="shared" ref="H3:H66" si="0">J3*1.5</f>
        <v>201000</v>
      </c>
      <c r="I3" t="s">
        <v>82</v>
      </c>
      <c r="J3">
        <v>134000</v>
      </c>
      <c r="K3">
        <f>J3*1.1</f>
        <v>147400</v>
      </c>
      <c r="L3">
        <v>4496118</v>
      </c>
    </row>
    <row r="4" spans="1:23">
      <c r="C4" t="s">
        <v>8</v>
      </c>
      <c r="D4" t="s">
        <v>353</v>
      </c>
      <c r="E4" t="s">
        <v>358</v>
      </c>
      <c r="F4" t="s">
        <v>359</v>
      </c>
      <c r="G4" s="98" t="s">
        <v>360</v>
      </c>
      <c r="H4">
        <v>95000</v>
      </c>
      <c r="I4" t="s">
        <v>80</v>
      </c>
      <c r="J4">
        <v>63000</v>
      </c>
      <c r="K4">
        <f t="shared" ref="K4:K67" si="1">J4*1.1</f>
        <v>69300</v>
      </c>
      <c r="L4">
        <v>4756898</v>
      </c>
      <c r="N4" s="81"/>
    </row>
    <row r="5" spans="1:23">
      <c r="C5" t="s">
        <v>9</v>
      </c>
      <c r="D5" t="s">
        <v>353</v>
      </c>
      <c r="E5" t="s">
        <v>361</v>
      </c>
      <c r="F5" t="s">
        <v>362</v>
      </c>
      <c r="G5" s="98" t="s">
        <v>97</v>
      </c>
      <c r="H5">
        <v>41000</v>
      </c>
      <c r="I5" t="s">
        <v>99</v>
      </c>
      <c r="J5">
        <v>27000</v>
      </c>
      <c r="K5">
        <f t="shared" si="1"/>
        <v>29700.000000000004</v>
      </c>
      <c r="L5">
        <v>4454684</v>
      </c>
    </row>
    <row r="6" spans="1:23">
      <c r="C6" t="s">
        <v>10</v>
      </c>
      <c r="D6" t="s">
        <v>363</v>
      </c>
      <c r="E6" t="s">
        <v>364</v>
      </c>
      <c r="F6" t="s">
        <v>365</v>
      </c>
      <c r="G6" s="98" t="s">
        <v>97</v>
      </c>
      <c r="H6">
        <v>332000</v>
      </c>
      <c r="I6" t="s">
        <v>366</v>
      </c>
      <c r="J6">
        <v>221000</v>
      </c>
      <c r="K6">
        <f t="shared" si="1"/>
        <v>243100.00000000003</v>
      </c>
      <c r="L6">
        <v>3021524</v>
      </c>
      <c r="N6" s="81"/>
    </row>
    <row r="7" spans="1:23">
      <c r="C7" t="s">
        <v>11</v>
      </c>
      <c r="D7" t="s">
        <v>363</v>
      </c>
      <c r="E7" t="s">
        <v>367</v>
      </c>
      <c r="F7" t="s">
        <v>368</v>
      </c>
      <c r="G7" s="98" t="s">
        <v>369</v>
      </c>
      <c r="H7">
        <v>272000</v>
      </c>
      <c r="I7" t="s">
        <v>237</v>
      </c>
      <c r="J7">
        <v>181000</v>
      </c>
      <c r="K7">
        <f t="shared" si="1"/>
        <v>199100.00000000003</v>
      </c>
      <c r="L7">
        <v>2872349</v>
      </c>
      <c r="M7" t="s">
        <v>82</v>
      </c>
    </row>
    <row r="8" spans="1:23">
      <c r="C8" t="s">
        <v>12</v>
      </c>
      <c r="D8" t="s">
        <v>353</v>
      </c>
      <c r="E8" t="s">
        <v>376</v>
      </c>
      <c r="F8" t="s">
        <v>377</v>
      </c>
      <c r="G8" s="98" t="s">
        <v>97</v>
      </c>
      <c r="H8">
        <f>J8*1.5</f>
        <v>138000</v>
      </c>
      <c r="I8" t="s">
        <v>82</v>
      </c>
      <c r="J8">
        <v>92000</v>
      </c>
      <c r="K8">
        <f t="shared" si="1"/>
        <v>101200.00000000001</v>
      </c>
      <c r="L8">
        <v>5509437</v>
      </c>
    </row>
    <row r="9" spans="1:23">
      <c r="C9" t="s">
        <v>13</v>
      </c>
      <c r="D9" t="s">
        <v>370</v>
      </c>
      <c r="E9" t="s">
        <v>371</v>
      </c>
      <c r="F9" t="s">
        <v>372</v>
      </c>
      <c r="G9" s="98" t="s">
        <v>83</v>
      </c>
      <c r="H9">
        <v>130000</v>
      </c>
      <c r="I9" t="s">
        <v>120</v>
      </c>
      <c r="J9">
        <v>86000</v>
      </c>
      <c r="K9">
        <f t="shared" si="1"/>
        <v>94600.000000000015</v>
      </c>
      <c r="L9">
        <v>4757120</v>
      </c>
    </row>
    <row r="10" spans="1:23">
      <c r="C10" t="s">
        <v>14</v>
      </c>
      <c r="D10" t="s">
        <v>373</v>
      </c>
      <c r="E10" t="s">
        <v>374</v>
      </c>
      <c r="F10" t="s">
        <v>372</v>
      </c>
      <c r="G10" s="98" t="s">
        <v>375</v>
      </c>
      <c r="H10">
        <v>272000</v>
      </c>
      <c r="I10" t="s">
        <v>82</v>
      </c>
      <c r="J10">
        <v>181000</v>
      </c>
      <c r="K10">
        <f t="shared" si="1"/>
        <v>199100.00000000003</v>
      </c>
      <c r="L10">
        <v>5512333</v>
      </c>
    </row>
    <row r="11" spans="1:23">
      <c r="C11" t="s">
        <v>15</v>
      </c>
      <c r="D11" t="s">
        <v>373</v>
      </c>
      <c r="E11" t="s">
        <v>378</v>
      </c>
      <c r="F11" t="s">
        <v>379</v>
      </c>
      <c r="G11" s="98" t="s">
        <v>83</v>
      </c>
      <c r="H11">
        <v>155000</v>
      </c>
      <c r="I11" t="s">
        <v>80</v>
      </c>
      <c r="J11">
        <v>103000</v>
      </c>
      <c r="K11">
        <f t="shared" si="1"/>
        <v>113300.00000000001</v>
      </c>
      <c r="L11">
        <v>4728473</v>
      </c>
    </row>
    <row r="12" spans="1:23">
      <c r="C12" t="s">
        <v>278</v>
      </c>
      <c r="D12" t="s">
        <v>373</v>
      </c>
      <c r="E12" t="s">
        <v>380</v>
      </c>
      <c r="F12" t="s">
        <v>381</v>
      </c>
      <c r="G12" s="98" t="s">
        <v>382</v>
      </c>
      <c r="H12">
        <v>173000</v>
      </c>
      <c r="I12" t="s">
        <v>80</v>
      </c>
      <c r="J12">
        <v>115000</v>
      </c>
      <c r="K12">
        <f t="shared" si="1"/>
        <v>126500.00000000001</v>
      </c>
      <c r="L12">
        <v>3988686</v>
      </c>
    </row>
    <row r="13" spans="1:23">
      <c r="C13" t="s">
        <v>16</v>
      </c>
      <c r="D13" t="s">
        <v>373</v>
      </c>
      <c r="E13" t="s">
        <v>383</v>
      </c>
      <c r="F13" t="s">
        <v>384</v>
      </c>
      <c r="G13" s="98" t="s">
        <v>83</v>
      </c>
      <c r="H13">
        <f t="shared" si="0"/>
        <v>111000</v>
      </c>
      <c r="I13" t="s">
        <v>80</v>
      </c>
      <c r="J13">
        <v>74000</v>
      </c>
      <c r="K13">
        <f t="shared" si="1"/>
        <v>81400</v>
      </c>
      <c r="L13">
        <v>3988714</v>
      </c>
      <c r="N13" s="81"/>
    </row>
    <row r="14" spans="1:23">
      <c r="C14" t="s">
        <v>17</v>
      </c>
      <c r="D14" t="s">
        <v>373</v>
      </c>
      <c r="E14" t="s">
        <v>385</v>
      </c>
      <c r="F14" t="s">
        <v>372</v>
      </c>
      <c r="G14" s="98" t="s">
        <v>83</v>
      </c>
      <c r="H14">
        <v>197000</v>
      </c>
      <c r="I14" t="s">
        <v>82</v>
      </c>
      <c r="J14">
        <v>131000</v>
      </c>
      <c r="K14">
        <f t="shared" si="1"/>
        <v>144100</v>
      </c>
      <c r="L14">
        <v>1948310</v>
      </c>
      <c r="N14" s="81"/>
    </row>
    <row r="15" spans="1:23">
      <c r="C15" t="s">
        <v>18</v>
      </c>
      <c r="D15" t="s">
        <v>373</v>
      </c>
      <c r="E15" t="s">
        <v>386</v>
      </c>
      <c r="G15" s="98" t="s">
        <v>102</v>
      </c>
      <c r="H15">
        <v>123000</v>
      </c>
      <c r="I15" t="s">
        <v>80</v>
      </c>
      <c r="J15">
        <v>81000</v>
      </c>
      <c r="K15">
        <f t="shared" si="1"/>
        <v>89100</v>
      </c>
      <c r="L15">
        <v>4525356</v>
      </c>
      <c r="N15" s="81"/>
    </row>
    <row r="16" spans="1:23">
      <c r="C16" t="s">
        <v>201</v>
      </c>
      <c r="D16" t="s">
        <v>373</v>
      </c>
      <c r="E16" t="s">
        <v>387</v>
      </c>
      <c r="F16" t="s">
        <v>388</v>
      </c>
      <c r="G16" s="81" t="s">
        <v>389</v>
      </c>
      <c r="H16">
        <f t="shared" si="0"/>
        <v>192000</v>
      </c>
      <c r="I16" t="s">
        <v>105</v>
      </c>
      <c r="J16">
        <v>128000</v>
      </c>
      <c r="K16">
        <f t="shared" si="1"/>
        <v>140800</v>
      </c>
      <c r="L16">
        <v>5700099</v>
      </c>
      <c r="N16" s="81"/>
    </row>
    <row r="17" spans="3:14">
      <c r="C17" t="s">
        <v>19</v>
      </c>
      <c r="D17" t="s">
        <v>373</v>
      </c>
      <c r="E17" t="s">
        <v>390</v>
      </c>
      <c r="F17" t="s">
        <v>391</v>
      </c>
      <c r="G17" s="98" t="s">
        <v>102</v>
      </c>
      <c r="H17">
        <f t="shared" si="0"/>
        <v>144000</v>
      </c>
      <c r="I17" t="s">
        <v>80</v>
      </c>
      <c r="J17">
        <v>96000</v>
      </c>
      <c r="K17">
        <f t="shared" si="1"/>
        <v>105600.00000000001</v>
      </c>
      <c r="L17">
        <v>2347153</v>
      </c>
      <c r="N17" s="98"/>
    </row>
    <row r="18" spans="3:14">
      <c r="C18" t="s">
        <v>20</v>
      </c>
      <c r="D18" t="s">
        <v>373</v>
      </c>
      <c r="E18" t="s">
        <v>393</v>
      </c>
      <c r="F18" t="s">
        <v>392</v>
      </c>
      <c r="G18" s="98" t="s">
        <v>83</v>
      </c>
      <c r="H18">
        <f t="shared" si="0"/>
        <v>165000</v>
      </c>
      <c r="I18" t="s">
        <v>80</v>
      </c>
      <c r="J18">
        <v>110000</v>
      </c>
      <c r="K18">
        <f t="shared" si="1"/>
        <v>121000.00000000001</v>
      </c>
      <c r="L18">
        <v>3964950</v>
      </c>
      <c r="N18" s="98"/>
    </row>
    <row r="19" spans="3:14">
      <c r="C19" t="s">
        <v>21</v>
      </c>
      <c r="D19" t="s">
        <v>373</v>
      </c>
      <c r="E19" t="s">
        <v>394</v>
      </c>
      <c r="G19" s="98" t="s">
        <v>88</v>
      </c>
      <c r="H19">
        <v>146000</v>
      </c>
      <c r="I19" t="s">
        <v>80</v>
      </c>
      <c r="J19">
        <v>97000</v>
      </c>
      <c r="K19">
        <f t="shared" si="1"/>
        <v>106700.00000000001</v>
      </c>
      <c r="L19">
        <v>1069351</v>
      </c>
      <c r="N19" s="98"/>
    </row>
    <row r="20" spans="3:14">
      <c r="C20" t="s">
        <v>22</v>
      </c>
      <c r="D20" t="s">
        <v>373</v>
      </c>
      <c r="E20" t="s">
        <v>395</v>
      </c>
      <c r="F20" t="s">
        <v>396</v>
      </c>
      <c r="G20" s="98" t="s">
        <v>88</v>
      </c>
      <c r="H20">
        <v>338000</v>
      </c>
      <c r="I20" t="s">
        <v>99</v>
      </c>
      <c r="J20">
        <v>225000</v>
      </c>
      <c r="K20">
        <f t="shared" si="1"/>
        <v>247500.00000000003</v>
      </c>
      <c r="L20">
        <v>1947912</v>
      </c>
      <c r="N20" s="81"/>
    </row>
    <row r="21" spans="3:14">
      <c r="C21" t="s">
        <v>23</v>
      </c>
      <c r="D21" t="s">
        <v>373</v>
      </c>
      <c r="E21" t="s">
        <v>397</v>
      </c>
      <c r="G21" s="98" t="s">
        <v>88</v>
      </c>
      <c r="H21">
        <f t="shared" si="0"/>
        <v>360000</v>
      </c>
      <c r="I21" t="s">
        <v>77</v>
      </c>
      <c r="J21">
        <v>240000</v>
      </c>
      <c r="K21">
        <f t="shared" si="1"/>
        <v>264000</v>
      </c>
      <c r="L21">
        <v>3137933</v>
      </c>
      <c r="N21" s="98"/>
    </row>
    <row r="22" spans="3:14">
      <c r="C22" t="s">
        <v>279</v>
      </c>
      <c r="D22" t="s">
        <v>398</v>
      </c>
      <c r="E22" t="s">
        <v>399</v>
      </c>
      <c r="F22" t="s">
        <v>400</v>
      </c>
      <c r="G22" s="98" t="s">
        <v>88</v>
      </c>
      <c r="H22">
        <f t="shared" si="0"/>
        <v>114000</v>
      </c>
      <c r="I22" t="s">
        <v>236</v>
      </c>
      <c r="J22">
        <v>76000</v>
      </c>
      <c r="K22">
        <f t="shared" si="1"/>
        <v>83600</v>
      </c>
      <c r="L22">
        <v>2666864</v>
      </c>
      <c r="N22" s="98"/>
    </row>
    <row r="23" spans="3:14">
      <c r="C23" t="s">
        <v>27</v>
      </c>
      <c r="D23" t="s">
        <v>401</v>
      </c>
      <c r="E23" t="s">
        <v>402</v>
      </c>
      <c r="F23" t="s">
        <v>403</v>
      </c>
      <c r="G23" s="98" t="s">
        <v>83</v>
      </c>
      <c r="H23">
        <v>135000</v>
      </c>
      <c r="I23" t="s">
        <v>82</v>
      </c>
      <c r="J23">
        <v>89000</v>
      </c>
      <c r="K23">
        <f t="shared" si="1"/>
        <v>97900.000000000015</v>
      </c>
      <c r="L23">
        <v>2348500</v>
      </c>
      <c r="N23" s="98"/>
    </row>
    <row r="24" spans="3:14">
      <c r="C24" t="s">
        <v>28</v>
      </c>
      <c r="D24" t="s">
        <v>401</v>
      </c>
      <c r="E24" t="s">
        <v>402</v>
      </c>
      <c r="F24" t="s">
        <v>403</v>
      </c>
      <c r="G24" s="98" t="s">
        <v>97</v>
      </c>
      <c r="H24">
        <f t="shared" si="0"/>
        <v>114000</v>
      </c>
      <c r="I24" t="s">
        <v>82</v>
      </c>
      <c r="J24">
        <v>76000</v>
      </c>
      <c r="K24">
        <f t="shared" si="1"/>
        <v>83600</v>
      </c>
      <c r="L24">
        <v>4526020</v>
      </c>
      <c r="N24" s="81"/>
    </row>
    <row r="25" spans="3:14">
      <c r="C25" t="s">
        <v>29</v>
      </c>
      <c r="D25" t="s">
        <v>401</v>
      </c>
      <c r="E25" t="s">
        <v>402</v>
      </c>
      <c r="F25" t="s">
        <v>403</v>
      </c>
      <c r="G25" s="98" t="s">
        <v>97</v>
      </c>
      <c r="H25">
        <f t="shared" si="0"/>
        <v>105000</v>
      </c>
      <c r="I25" t="s">
        <v>82</v>
      </c>
      <c r="J25">
        <v>70000</v>
      </c>
      <c r="K25">
        <f t="shared" si="1"/>
        <v>77000</v>
      </c>
      <c r="L25">
        <v>4526029</v>
      </c>
      <c r="N25" s="98"/>
    </row>
    <row r="26" spans="3:14">
      <c r="C26" t="s">
        <v>203</v>
      </c>
      <c r="D26" t="s">
        <v>405</v>
      </c>
      <c r="E26" t="s">
        <v>406</v>
      </c>
      <c r="F26" t="s">
        <v>407</v>
      </c>
      <c r="G26" s="98" t="s">
        <v>88</v>
      </c>
      <c r="H26">
        <f t="shared" si="0"/>
        <v>147000</v>
      </c>
      <c r="I26" t="s">
        <v>237</v>
      </c>
      <c r="J26">
        <v>98000</v>
      </c>
      <c r="K26">
        <f t="shared" si="1"/>
        <v>107800.00000000001</v>
      </c>
      <c r="L26">
        <v>1656996</v>
      </c>
      <c r="M26" t="s">
        <v>82</v>
      </c>
      <c r="N26" s="98"/>
    </row>
    <row r="27" spans="3:14">
      <c r="C27" t="s">
        <v>30</v>
      </c>
      <c r="D27" t="s">
        <v>408</v>
      </c>
      <c r="E27" t="s">
        <v>409</v>
      </c>
      <c r="F27" t="s">
        <v>410</v>
      </c>
      <c r="G27" s="98" t="s">
        <v>411</v>
      </c>
      <c r="H27">
        <f t="shared" si="0"/>
        <v>84000</v>
      </c>
      <c r="I27" t="s">
        <v>82</v>
      </c>
      <c r="J27">
        <v>56000</v>
      </c>
      <c r="K27">
        <f t="shared" si="1"/>
        <v>61600.000000000007</v>
      </c>
      <c r="L27">
        <v>3982562</v>
      </c>
      <c r="N27" s="98"/>
    </row>
    <row r="28" spans="3:14">
      <c r="C28" t="s">
        <v>31</v>
      </c>
      <c r="D28" t="s">
        <v>408</v>
      </c>
      <c r="E28" t="s">
        <v>412</v>
      </c>
      <c r="F28" t="s">
        <v>372</v>
      </c>
      <c r="G28" s="98" t="s">
        <v>88</v>
      </c>
      <c r="H28">
        <f t="shared" si="0"/>
        <v>72000</v>
      </c>
      <c r="I28" t="s">
        <v>82</v>
      </c>
      <c r="J28">
        <v>48000</v>
      </c>
      <c r="K28">
        <f t="shared" si="1"/>
        <v>52800.000000000007</v>
      </c>
      <c r="L28">
        <v>3982588</v>
      </c>
      <c r="N28" s="81"/>
    </row>
    <row r="29" spans="3:14">
      <c r="C29" t="s">
        <v>32</v>
      </c>
      <c r="D29" t="s">
        <v>363</v>
      </c>
      <c r="E29" t="s">
        <v>413</v>
      </c>
      <c r="G29" s="98" t="s">
        <v>83</v>
      </c>
      <c r="H29">
        <f t="shared" si="0"/>
        <v>198000</v>
      </c>
      <c r="I29" t="s">
        <v>80</v>
      </c>
      <c r="J29">
        <v>132000</v>
      </c>
      <c r="K29">
        <f t="shared" si="1"/>
        <v>145200</v>
      </c>
      <c r="L29">
        <v>5700755</v>
      </c>
    </row>
    <row r="30" spans="3:14">
      <c r="C30" t="s">
        <v>33</v>
      </c>
      <c r="D30" t="s">
        <v>373</v>
      </c>
      <c r="E30" t="s">
        <v>414</v>
      </c>
      <c r="G30" s="98" t="s">
        <v>83</v>
      </c>
      <c r="H30">
        <v>182000</v>
      </c>
      <c r="I30" t="s">
        <v>99</v>
      </c>
      <c r="J30">
        <v>121000</v>
      </c>
      <c r="K30">
        <f t="shared" si="1"/>
        <v>133100</v>
      </c>
      <c r="L30">
        <v>3957694</v>
      </c>
      <c r="N30" s="81"/>
    </row>
    <row r="31" spans="3:14">
      <c r="C31" t="s">
        <v>34</v>
      </c>
      <c r="D31" t="s">
        <v>373</v>
      </c>
      <c r="E31" t="s">
        <v>415</v>
      </c>
      <c r="G31" s="98" t="s">
        <v>83</v>
      </c>
      <c r="H31">
        <v>143000</v>
      </c>
      <c r="I31" t="s">
        <v>99</v>
      </c>
      <c r="J31">
        <v>95000</v>
      </c>
      <c r="K31">
        <f t="shared" si="1"/>
        <v>104500.00000000001</v>
      </c>
      <c r="L31">
        <v>3957793</v>
      </c>
      <c r="N31" s="98"/>
    </row>
    <row r="32" spans="3:14">
      <c r="C32" t="s">
        <v>275</v>
      </c>
      <c r="D32" t="s">
        <v>373</v>
      </c>
      <c r="E32" t="s">
        <v>416</v>
      </c>
      <c r="G32" s="98" t="s">
        <v>88</v>
      </c>
      <c r="H32">
        <f t="shared" si="0"/>
        <v>195000</v>
      </c>
      <c r="I32" t="s">
        <v>99</v>
      </c>
      <c r="J32">
        <v>130000</v>
      </c>
      <c r="K32">
        <f t="shared" si="1"/>
        <v>143000</v>
      </c>
      <c r="L32">
        <v>4053898</v>
      </c>
    </row>
    <row r="33" spans="3:14">
      <c r="C33" t="s">
        <v>35</v>
      </c>
      <c r="D33" t="s">
        <v>373</v>
      </c>
      <c r="E33" t="s">
        <v>417</v>
      </c>
      <c r="G33" s="98" t="s">
        <v>83</v>
      </c>
      <c r="H33">
        <f t="shared" si="0"/>
        <v>120000</v>
      </c>
      <c r="I33" t="s">
        <v>82</v>
      </c>
      <c r="J33">
        <v>80000</v>
      </c>
      <c r="K33">
        <f t="shared" si="1"/>
        <v>88000</v>
      </c>
      <c r="L33">
        <v>2866227</v>
      </c>
    </row>
    <row r="34" spans="3:14">
      <c r="C34" t="s">
        <v>36</v>
      </c>
      <c r="D34" t="s">
        <v>373</v>
      </c>
      <c r="E34" t="s">
        <v>418</v>
      </c>
      <c r="F34" t="s">
        <v>404</v>
      </c>
      <c r="G34" s="98" t="s">
        <v>102</v>
      </c>
      <c r="H34">
        <v>176000</v>
      </c>
      <c r="I34" t="s">
        <v>82</v>
      </c>
      <c r="J34">
        <v>117000</v>
      </c>
      <c r="K34">
        <f t="shared" si="1"/>
        <v>128700.00000000001</v>
      </c>
      <c r="L34">
        <v>4466903</v>
      </c>
    </row>
    <row r="35" spans="3:14">
      <c r="C35" t="s">
        <v>37</v>
      </c>
      <c r="D35" t="s">
        <v>373</v>
      </c>
      <c r="E35" t="s">
        <v>419</v>
      </c>
      <c r="F35" t="s">
        <v>404</v>
      </c>
      <c r="G35" s="98" t="s">
        <v>420</v>
      </c>
      <c r="H35">
        <v>179000</v>
      </c>
      <c r="I35" t="s">
        <v>82</v>
      </c>
      <c r="J35">
        <v>119000</v>
      </c>
      <c r="K35">
        <f t="shared" si="1"/>
        <v>130900.00000000001</v>
      </c>
      <c r="L35">
        <v>2339369</v>
      </c>
    </row>
    <row r="36" spans="3:14">
      <c r="C36" t="s">
        <v>38</v>
      </c>
      <c r="D36" t="s">
        <v>373</v>
      </c>
      <c r="E36" t="s">
        <v>421</v>
      </c>
      <c r="F36" t="s">
        <v>422</v>
      </c>
      <c r="H36">
        <f t="shared" si="0"/>
        <v>177000</v>
      </c>
      <c r="I36" t="s">
        <v>82</v>
      </c>
      <c r="J36">
        <v>118000</v>
      </c>
      <c r="K36">
        <f t="shared" si="1"/>
        <v>129800.00000000001</v>
      </c>
      <c r="L36">
        <v>5600682</v>
      </c>
    </row>
    <row r="37" spans="3:14">
      <c r="C37" t="s">
        <v>39</v>
      </c>
      <c r="D37" t="s">
        <v>373</v>
      </c>
      <c r="E37" t="s">
        <v>423</v>
      </c>
      <c r="F37" t="s">
        <v>424</v>
      </c>
      <c r="G37" s="98" t="s">
        <v>102</v>
      </c>
      <c r="H37">
        <v>140000</v>
      </c>
      <c r="I37" t="s">
        <v>82</v>
      </c>
      <c r="J37">
        <v>93000</v>
      </c>
      <c r="K37">
        <f t="shared" si="1"/>
        <v>102300.00000000001</v>
      </c>
      <c r="L37">
        <v>3986671</v>
      </c>
    </row>
    <row r="38" spans="3:14">
      <c r="C38" t="s">
        <v>40</v>
      </c>
      <c r="D38" t="s">
        <v>373</v>
      </c>
      <c r="E38" t="s">
        <v>425</v>
      </c>
      <c r="G38" s="98" t="s">
        <v>102</v>
      </c>
      <c r="H38">
        <f t="shared" si="0"/>
        <v>126000</v>
      </c>
      <c r="I38" t="s">
        <v>82</v>
      </c>
      <c r="J38">
        <v>84000</v>
      </c>
      <c r="K38">
        <f t="shared" si="1"/>
        <v>92400.000000000015</v>
      </c>
      <c r="L38">
        <v>3986683</v>
      </c>
      <c r="N38" s="81"/>
    </row>
    <row r="39" spans="3:14">
      <c r="C39" t="s">
        <v>41</v>
      </c>
      <c r="D39" t="s">
        <v>373</v>
      </c>
      <c r="E39" t="s">
        <v>426</v>
      </c>
      <c r="G39" s="98" t="s">
        <v>102</v>
      </c>
      <c r="H39">
        <f t="shared" si="0"/>
        <v>96000</v>
      </c>
      <c r="I39" t="s">
        <v>99</v>
      </c>
      <c r="J39">
        <v>64000</v>
      </c>
      <c r="K39">
        <f t="shared" si="1"/>
        <v>70400</v>
      </c>
      <c r="L39">
        <v>5703220</v>
      </c>
      <c r="N39" s="81"/>
    </row>
    <row r="40" spans="3:14">
      <c r="C40" t="s">
        <v>42</v>
      </c>
      <c r="D40" t="s">
        <v>373</v>
      </c>
      <c r="E40" t="s">
        <v>427</v>
      </c>
      <c r="G40" s="98" t="s">
        <v>83</v>
      </c>
      <c r="H40">
        <v>120000</v>
      </c>
      <c r="I40" t="s">
        <v>99</v>
      </c>
      <c r="J40">
        <v>79500</v>
      </c>
      <c r="K40">
        <f t="shared" si="1"/>
        <v>87450</v>
      </c>
      <c r="L40">
        <v>1389818</v>
      </c>
      <c r="N40" s="81"/>
    </row>
    <row r="41" spans="3:14">
      <c r="C41" t="s">
        <v>43</v>
      </c>
      <c r="D41" t="s">
        <v>373</v>
      </c>
      <c r="E41" t="s">
        <v>428</v>
      </c>
      <c r="F41" t="s">
        <v>404</v>
      </c>
      <c r="G41" s="98" t="s">
        <v>429</v>
      </c>
      <c r="H41">
        <f t="shared" si="0"/>
        <v>129000</v>
      </c>
      <c r="I41" t="s">
        <v>82</v>
      </c>
      <c r="J41">
        <v>86000</v>
      </c>
      <c r="K41">
        <f t="shared" si="1"/>
        <v>94600.000000000015</v>
      </c>
      <c r="L41">
        <v>3986594</v>
      </c>
    </row>
    <row r="42" spans="3:14">
      <c r="C42" t="s">
        <v>280</v>
      </c>
      <c r="D42" t="s">
        <v>373</v>
      </c>
      <c r="E42" t="s">
        <v>430</v>
      </c>
      <c r="F42" t="s">
        <v>431</v>
      </c>
      <c r="G42" s="98" t="s">
        <v>83</v>
      </c>
      <c r="H42">
        <f t="shared" si="0"/>
        <v>195000</v>
      </c>
      <c r="I42" t="s">
        <v>80</v>
      </c>
      <c r="J42">
        <v>130000</v>
      </c>
      <c r="K42">
        <f t="shared" si="1"/>
        <v>143000</v>
      </c>
      <c r="L42">
        <v>3988729</v>
      </c>
      <c r="N42" s="81"/>
    </row>
    <row r="43" spans="3:14">
      <c r="C43" t="s">
        <v>44</v>
      </c>
      <c r="D43" t="s">
        <v>373</v>
      </c>
      <c r="E43" t="s">
        <v>432</v>
      </c>
      <c r="F43" t="s">
        <v>404</v>
      </c>
      <c r="G43" s="98" t="s">
        <v>102</v>
      </c>
      <c r="H43">
        <f t="shared" si="0"/>
        <v>132000</v>
      </c>
      <c r="I43" t="s">
        <v>82</v>
      </c>
      <c r="J43">
        <v>88000</v>
      </c>
      <c r="K43">
        <f t="shared" si="1"/>
        <v>96800.000000000015</v>
      </c>
      <c r="L43">
        <v>4524066</v>
      </c>
      <c r="N43" s="81"/>
    </row>
    <row r="44" spans="3:14">
      <c r="C44" t="s">
        <v>45</v>
      </c>
      <c r="D44" t="s">
        <v>373</v>
      </c>
      <c r="E44" t="s">
        <v>433</v>
      </c>
      <c r="G44" s="98" t="s">
        <v>429</v>
      </c>
      <c r="H44">
        <v>125000</v>
      </c>
      <c r="I44" t="s">
        <v>82</v>
      </c>
      <c r="J44">
        <v>83000</v>
      </c>
      <c r="K44">
        <f t="shared" si="1"/>
        <v>91300.000000000015</v>
      </c>
      <c r="L44">
        <v>4742860</v>
      </c>
      <c r="N44" s="98"/>
    </row>
    <row r="45" spans="3:14">
      <c r="C45" t="s">
        <v>46</v>
      </c>
      <c r="D45" t="s">
        <v>373</v>
      </c>
      <c r="E45" t="s">
        <v>434</v>
      </c>
      <c r="G45" s="98" t="s">
        <v>83</v>
      </c>
      <c r="H45">
        <v>149000</v>
      </c>
      <c r="I45" t="s">
        <v>99</v>
      </c>
      <c r="J45">
        <v>99000</v>
      </c>
      <c r="K45">
        <f t="shared" si="1"/>
        <v>108900.00000000001</v>
      </c>
      <c r="L45">
        <v>3957798</v>
      </c>
      <c r="N45" s="98"/>
    </row>
    <row r="46" spans="3:14">
      <c r="C46" t="s">
        <v>47</v>
      </c>
      <c r="D46" t="s">
        <v>373</v>
      </c>
      <c r="E46" t="s">
        <v>435</v>
      </c>
      <c r="F46" t="s">
        <v>424</v>
      </c>
      <c r="G46" s="98" t="s">
        <v>83</v>
      </c>
      <c r="H46">
        <f t="shared" si="0"/>
        <v>162000</v>
      </c>
      <c r="I46" t="s">
        <v>80</v>
      </c>
      <c r="J46">
        <v>108000</v>
      </c>
      <c r="K46">
        <f t="shared" si="1"/>
        <v>118800.00000000001</v>
      </c>
      <c r="L46">
        <v>1636868</v>
      </c>
      <c r="N46" s="81"/>
    </row>
    <row r="47" spans="3:14">
      <c r="C47" t="s">
        <v>48</v>
      </c>
      <c r="D47" t="s">
        <v>373</v>
      </c>
      <c r="E47" t="s">
        <v>436</v>
      </c>
      <c r="G47" s="98" t="s">
        <v>97</v>
      </c>
      <c r="H47">
        <v>71000</v>
      </c>
      <c r="I47" t="s">
        <v>82</v>
      </c>
      <c r="J47">
        <v>47000</v>
      </c>
      <c r="K47">
        <f t="shared" si="1"/>
        <v>51700.000000000007</v>
      </c>
      <c r="L47">
        <v>3986583</v>
      </c>
    </row>
    <row r="48" spans="3:14">
      <c r="C48" t="s">
        <v>49</v>
      </c>
      <c r="D48" t="s">
        <v>373</v>
      </c>
      <c r="E48" t="s">
        <v>437</v>
      </c>
      <c r="G48" s="98" t="s">
        <v>83</v>
      </c>
      <c r="H48">
        <f t="shared" si="0"/>
        <v>87000</v>
      </c>
      <c r="I48" t="s">
        <v>82</v>
      </c>
      <c r="J48">
        <v>58000</v>
      </c>
      <c r="K48">
        <f t="shared" si="1"/>
        <v>63800.000000000007</v>
      </c>
      <c r="L48">
        <v>3986674</v>
      </c>
      <c r="N48" s="81"/>
    </row>
    <row r="49" spans="3:14">
      <c r="C49" t="s">
        <v>50</v>
      </c>
      <c r="D49" t="s">
        <v>373</v>
      </c>
      <c r="E49" t="s">
        <v>437</v>
      </c>
      <c r="G49" s="98" t="s">
        <v>83</v>
      </c>
      <c r="H49">
        <v>95000</v>
      </c>
      <c r="I49" t="s">
        <v>82</v>
      </c>
      <c r="J49">
        <v>63000</v>
      </c>
      <c r="K49">
        <f t="shared" si="1"/>
        <v>69300</v>
      </c>
      <c r="L49">
        <v>4755231</v>
      </c>
      <c r="N49" s="81"/>
    </row>
    <row r="50" spans="3:14">
      <c r="C50" t="s">
        <v>51</v>
      </c>
      <c r="D50" t="s">
        <v>373</v>
      </c>
      <c r="E50" t="s">
        <v>438</v>
      </c>
      <c r="G50" s="98" t="s">
        <v>439</v>
      </c>
      <c r="H50">
        <v>92000</v>
      </c>
      <c r="I50" t="s">
        <v>82</v>
      </c>
      <c r="J50">
        <v>61000</v>
      </c>
      <c r="K50">
        <f t="shared" si="1"/>
        <v>67100</v>
      </c>
      <c r="L50">
        <v>4498047</v>
      </c>
    </row>
    <row r="51" spans="3:14">
      <c r="C51" t="s">
        <v>52</v>
      </c>
      <c r="D51" t="s">
        <v>373</v>
      </c>
      <c r="E51" t="s">
        <v>438</v>
      </c>
      <c r="G51" s="98" t="s">
        <v>102</v>
      </c>
      <c r="H51">
        <v>83000</v>
      </c>
      <c r="I51" t="s">
        <v>82</v>
      </c>
      <c r="J51">
        <v>55000</v>
      </c>
      <c r="K51">
        <f t="shared" si="1"/>
        <v>60500.000000000007</v>
      </c>
      <c r="L51">
        <v>2891784</v>
      </c>
      <c r="N51" s="81"/>
    </row>
    <row r="52" spans="3:14">
      <c r="C52" t="s">
        <v>213</v>
      </c>
      <c r="D52" t="s">
        <v>373</v>
      </c>
      <c r="E52" t="s">
        <v>440</v>
      </c>
      <c r="G52" s="98" t="s">
        <v>441</v>
      </c>
      <c r="H52">
        <v>68000</v>
      </c>
      <c r="I52" t="s">
        <v>80</v>
      </c>
      <c r="J52">
        <v>45000</v>
      </c>
      <c r="K52">
        <f t="shared" si="1"/>
        <v>49500.000000000007</v>
      </c>
      <c r="L52">
        <v>4526446</v>
      </c>
      <c r="N52" s="81"/>
    </row>
    <row r="53" spans="3:14">
      <c r="C53" t="s">
        <v>214</v>
      </c>
      <c r="D53" t="s">
        <v>373</v>
      </c>
      <c r="E53" t="s">
        <v>442</v>
      </c>
      <c r="F53" s="98" t="s">
        <v>443</v>
      </c>
      <c r="G53" s="98" t="s">
        <v>88</v>
      </c>
      <c r="H53">
        <f t="shared" si="0"/>
        <v>195000</v>
      </c>
      <c r="I53" t="s">
        <v>99</v>
      </c>
      <c r="J53">
        <v>130000</v>
      </c>
      <c r="K53">
        <f t="shared" si="1"/>
        <v>143000</v>
      </c>
      <c r="L53">
        <v>2554410</v>
      </c>
      <c r="N53" s="81"/>
    </row>
    <row r="54" spans="3:14">
      <c r="C54" t="s">
        <v>215</v>
      </c>
      <c r="D54" t="s">
        <v>373</v>
      </c>
      <c r="E54" t="s">
        <v>444</v>
      </c>
      <c r="F54" s="98" t="s">
        <v>445</v>
      </c>
      <c r="G54" s="98" t="s">
        <v>88</v>
      </c>
      <c r="H54">
        <f t="shared" si="0"/>
        <v>108000</v>
      </c>
      <c r="I54" t="s">
        <v>82</v>
      </c>
      <c r="J54">
        <v>72000</v>
      </c>
      <c r="K54">
        <f t="shared" si="1"/>
        <v>79200</v>
      </c>
      <c r="L54">
        <v>2755865</v>
      </c>
      <c r="N54" s="81"/>
    </row>
    <row r="55" spans="3:14">
      <c r="C55" t="s">
        <v>216</v>
      </c>
      <c r="D55" t="s">
        <v>373</v>
      </c>
      <c r="E55" t="s">
        <v>444</v>
      </c>
      <c r="F55" s="98" t="s">
        <v>445</v>
      </c>
      <c r="G55" s="98" t="s">
        <v>446</v>
      </c>
      <c r="H55">
        <v>50000</v>
      </c>
      <c r="I55" t="s">
        <v>77</v>
      </c>
      <c r="J55">
        <v>18000</v>
      </c>
      <c r="K55">
        <f t="shared" si="1"/>
        <v>19800</v>
      </c>
      <c r="L55">
        <v>3986113</v>
      </c>
    </row>
    <row r="56" spans="3:14">
      <c r="C56" t="s">
        <v>217</v>
      </c>
      <c r="D56" t="s">
        <v>373</v>
      </c>
      <c r="E56" t="s">
        <v>447</v>
      </c>
      <c r="G56" s="98" t="s">
        <v>97</v>
      </c>
      <c r="H56">
        <f t="shared" si="0"/>
        <v>79500</v>
      </c>
      <c r="I56" t="s">
        <v>82</v>
      </c>
      <c r="J56">
        <v>53000</v>
      </c>
      <c r="K56">
        <f t="shared" si="1"/>
        <v>58300.000000000007</v>
      </c>
      <c r="L56">
        <v>2869326</v>
      </c>
    </row>
    <row r="57" spans="3:14">
      <c r="C57" t="s">
        <v>218</v>
      </c>
      <c r="D57" t="s">
        <v>373</v>
      </c>
      <c r="E57" t="s">
        <v>448</v>
      </c>
      <c r="G57" s="98" t="s">
        <v>97</v>
      </c>
      <c r="H57">
        <f t="shared" si="0"/>
        <v>78000</v>
      </c>
      <c r="I57" t="s">
        <v>82</v>
      </c>
      <c r="J57">
        <v>52000</v>
      </c>
      <c r="K57">
        <f t="shared" si="1"/>
        <v>57200.000000000007</v>
      </c>
      <c r="L57">
        <v>3977263</v>
      </c>
    </row>
    <row r="58" spans="3:14">
      <c r="C58" t="s">
        <v>219</v>
      </c>
      <c r="D58" t="s">
        <v>373</v>
      </c>
      <c r="E58" t="s">
        <v>449</v>
      </c>
      <c r="G58" s="98" t="s">
        <v>83</v>
      </c>
      <c r="H58">
        <f t="shared" si="0"/>
        <v>93000</v>
      </c>
      <c r="I58" t="s">
        <v>99</v>
      </c>
      <c r="J58">
        <v>62000</v>
      </c>
      <c r="K58">
        <f t="shared" si="1"/>
        <v>68200</v>
      </c>
      <c r="L58">
        <v>3361264</v>
      </c>
    </row>
    <row r="59" spans="3:14">
      <c r="C59" t="s">
        <v>220</v>
      </c>
      <c r="D59" t="s">
        <v>373</v>
      </c>
      <c r="E59" t="s">
        <v>450</v>
      </c>
      <c r="G59" s="98" t="s">
        <v>97</v>
      </c>
      <c r="H59">
        <v>80000</v>
      </c>
      <c r="I59" t="s">
        <v>82</v>
      </c>
      <c r="J59">
        <v>53000</v>
      </c>
      <c r="K59">
        <f t="shared" si="1"/>
        <v>58300.000000000007</v>
      </c>
      <c r="L59">
        <v>2888490</v>
      </c>
    </row>
    <row r="60" spans="3:14">
      <c r="C60" t="s">
        <v>221</v>
      </c>
      <c r="D60" t="s">
        <v>373</v>
      </c>
      <c r="E60" t="s">
        <v>451</v>
      </c>
      <c r="G60" s="98" t="s">
        <v>83</v>
      </c>
      <c r="H60">
        <f t="shared" si="0"/>
        <v>84000</v>
      </c>
      <c r="I60" t="s">
        <v>99</v>
      </c>
      <c r="J60">
        <v>56000</v>
      </c>
      <c r="K60">
        <f t="shared" si="1"/>
        <v>61600.000000000007</v>
      </c>
      <c r="L60">
        <v>3952115</v>
      </c>
    </row>
    <row r="61" spans="3:14">
      <c r="C61" t="s">
        <v>281</v>
      </c>
      <c r="D61" t="s">
        <v>373</v>
      </c>
      <c r="E61" t="s">
        <v>452</v>
      </c>
      <c r="G61" s="98" t="s">
        <v>83</v>
      </c>
      <c r="H61">
        <f t="shared" si="0"/>
        <v>72000</v>
      </c>
      <c r="I61" t="s">
        <v>82</v>
      </c>
      <c r="J61">
        <v>48000</v>
      </c>
      <c r="K61">
        <f t="shared" si="1"/>
        <v>52800.000000000007</v>
      </c>
      <c r="L61">
        <v>3979408</v>
      </c>
    </row>
    <row r="62" spans="3:14">
      <c r="C62" t="s">
        <v>282</v>
      </c>
      <c r="D62" t="s">
        <v>373</v>
      </c>
      <c r="E62" t="s">
        <v>453</v>
      </c>
      <c r="G62" s="98" t="s">
        <v>88</v>
      </c>
      <c r="H62">
        <f t="shared" si="0"/>
        <v>63000</v>
      </c>
      <c r="I62" t="s">
        <v>80</v>
      </c>
      <c r="J62">
        <v>42000</v>
      </c>
      <c r="K62">
        <f t="shared" si="1"/>
        <v>46200.000000000007</v>
      </c>
      <c r="L62">
        <v>1069854</v>
      </c>
    </row>
    <row r="63" spans="3:14">
      <c r="C63" t="s">
        <v>54</v>
      </c>
      <c r="D63" t="s">
        <v>373</v>
      </c>
      <c r="E63" t="s">
        <v>437</v>
      </c>
      <c r="G63" s="98" t="s">
        <v>83</v>
      </c>
      <c r="H63">
        <v>86000</v>
      </c>
      <c r="I63" t="s">
        <v>99</v>
      </c>
      <c r="J63">
        <v>57000</v>
      </c>
      <c r="K63">
        <f t="shared" si="1"/>
        <v>62700.000000000007</v>
      </c>
      <c r="L63">
        <v>2670442</v>
      </c>
    </row>
    <row r="64" spans="3:14">
      <c r="C64" t="s">
        <v>55</v>
      </c>
      <c r="D64" t="s">
        <v>373</v>
      </c>
      <c r="E64" t="s">
        <v>454</v>
      </c>
      <c r="G64" s="98" t="s">
        <v>83</v>
      </c>
      <c r="H64">
        <f t="shared" si="0"/>
        <v>162000</v>
      </c>
      <c r="I64" t="s">
        <v>99</v>
      </c>
      <c r="J64">
        <v>108000</v>
      </c>
      <c r="K64">
        <f t="shared" si="1"/>
        <v>118800.00000000001</v>
      </c>
      <c r="L64">
        <v>3957752</v>
      </c>
    </row>
    <row r="65" spans="3:12">
      <c r="C65" t="s">
        <v>56</v>
      </c>
      <c r="D65" t="s">
        <v>373</v>
      </c>
      <c r="E65" t="s">
        <v>455</v>
      </c>
      <c r="G65" s="98" t="s">
        <v>83</v>
      </c>
      <c r="H65">
        <v>122000</v>
      </c>
      <c r="I65" t="s">
        <v>99</v>
      </c>
      <c r="J65">
        <v>81000</v>
      </c>
      <c r="K65">
        <f t="shared" si="1"/>
        <v>89100</v>
      </c>
      <c r="L65">
        <v>3957797</v>
      </c>
    </row>
    <row r="66" spans="3:12">
      <c r="C66" t="s">
        <v>57</v>
      </c>
      <c r="D66" t="s">
        <v>373</v>
      </c>
      <c r="E66" t="s">
        <v>456</v>
      </c>
      <c r="G66" s="98" t="s">
        <v>83</v>
      </c>
      <c r="H66">
        <v>158000</v>
      </c>
      <c r="I66" t="s">
        <v>99</v>
      </c>
      <c r="J66">
        <v>105000</v>
      </c>
      <c r="K66">
        <f t="shared" si="1"/>
        <v>115500.00000000001</v>
      </c>
      <c r="L66">
        <v>3402818</v>
      </c>
    </row>
    <row r="67" spans="3:12">
      <c r="C67" t="s">
        <v>58</v>
      </c>
      <c r="D67" t="s">
        <v>373</v>
      </c>
      <c r="E67" t="s">
        <v>457</v>
      </c>
      <c r="G67" s="98" t="s">
        <v>83</v>
      </c>
      <c r="H67">
        <v>92000</v>
      </c>
      <c r="I67" t="s">
        <v>82</v>
      </c>
      <c r="J67">
        <v>61000</v>
      </c>
      <c r="K67">
        <f t="shared" si="1"/>
        <v>67100</v>
      </c>
      <c r="L67">
        <v>2724554</v>
      </c>
    </row>
    <row r="68" spans="3:12">
      <c r="C68" t="s">
        <v>59</v>
      </c>
      <c r="D68" t="s">
        <v>373</v>
      </c>
      <c r="E68" t="s">
        <v>437</v>
      </c>
      <c r="G68" s="98" t="s">
        <v>102</v>
      </c>
      <c r="H68">
        <f t="shared" ref="H67:H111" si="2">J68*1.5</f>
        <v>75000</v>
      </c>
      <c r="I68" t="s">
        <v>82</v>
      </c>
      <c r="J68">
        <v>50000</v>
      </c>
      <c r="K68">
        <f t="shared" ref="K68:K111" si="3">J68*1.1</f>
        <v>55000.000000000007</v>
      </c>
      <c r="L68">
        <v>2153339</v>
      </c>
    </row>
    <row r="69" spans="3:12">
      <c r="C69" t="s">
        <v>60</v>
      </c>
      <c r="D69" t="s">
        <v>373</v>
      </c>
      <c r="E69" t="s">
        <v>458</v>
      </c>
      <c r="G69" s="98" t="s">
        <v>83</v>
      </c>
      <c r="H69">
        <f t="shared" si="2"/>
        <v>57000</v>
      </c>
      <c r="I69" t="s">
        <v>82</v>
      </c>
      <c r="J69">
        <v>38000</v>
      </c>
      <c r="K69">
        <f t="shared" si="3"/>
        <v>41800</v>
      </c>
      <c r="L69">
        <v>4753766</v>
      </c>
    </row>
    <row r="70" spans="3:12">
      <c r="C70" t="s">
        <v>65</v>
      </c>
      <c r="D70" t="s">
        <v>373</v>
      </c>
      <c r="E70" t="s">
        <v>458</v>
      </c>
      <c r="G70" s="98" t="s">
        <v>83</v>
      </c>
      <c r="H70">
        <v>65000</v>
      </c>
      <c r="I70" t="s">
        <v>82</v>
      </c>
      <c r="J70">
        <v>43000</v>
      </c>
      <c r="K70">
        <f t="shared" si="3"/>
        <v>47300.000000000007</v>
      </c>
      <c r="L70">
        <v>2153343</v>
      </c>
    </row>
    <row r="71" spans="3:12">
      <c r="C71" t="s">
        <v>66</v>
      </c>
      <c r="D71" t="s">
        <v>373</v>
      </c>
      <c r="E71" t="s">
        <v>459</v>
      </c>
      <c r="G71" s="98" t="s">
        <v>102</v>
      </c>
      <c r="H71">
        <f t="shared" si="2"/>
        <v>132000</v>
      </c>
      <c r="I71" t="s">
        <v>99</v>
      </c>
      <c r="J71">
        <v>88000</v>
      </c>
      <c r="K71">
        <f t="shared" si="3"/>
        <v>96800.000000000015</v>
      </c>
      <c r="L71">
        <v>3957684</v>
      </c>
    </row>
    <row r="72" spans="3:12">
      <c r="C72" t="s">
        <v>283</v>
      </c>
      <c r="D72" t="s">
        <v>373</v>
      </c>
      <c r="E72" t="s">
        <v>255</v>
      </c>
      <c r="G72" s="98" t="s">
        <v>460</v>
      </c>
      <c r="H72">
        <f t="shared" si="2"/>
        <v>72000</v>
      </c>
      <c r="I72" t="s">
        <v>99</v>
      </c>
      <c r="J72">
        <v>48000</v>
      </c>
      <c r="K72">
        <f t="shared" si="3"/>
        <v>52800.000000000007</v>
      </c>
      <c r="L72">
        <v>5703252</v>
      </c>
    </row>
    <row r="73" spans="3:12">
      <c r="C73" t="s">
        <v>284</v>
      </c>
      <c r="D73" t="s">
        <v>373</v>
      </c>
      <c r="E73" t="s">
        <v>461</v>
      </c>
      <c r="G73" s="98" t="s">
        <v>83</v>
      </c>
      <c r="H73">
        <v>56000</v>
      </c>
      <c r="I73" t="s">
        <v>82</v>
      </c>
      <c r="J73">
        <v>37000</v>
      </c>
      <c r="K73">
        <f t="shared" si="3"/>
        <v>40700</v>
      </c>
      <c r="L73">
        <v>5504624</v>
      </c>
    </row>
    <row r="74" spans="3:12">
      <c r="C74" t="s">
        <v>285</v>
      </c>
      <c r="D74" t="s">
        <v>373</v>
      </c>
      <c r="E74" t="s">
        <v>462</v>
      </c>
      <c r="F74" t="s">
        <v>445</v>
      </c>
      <c r="G74" s="98" t="s">
        <v>83</v>
      </c>
      <c r="H74">
        <f t="shared" si="2"/>
        <v>75000</v>
      </c>
      <c r="I74" t="s">
        <v>82</v>
      </c>
      <c r="J74">
        <v>50000</v>
      </c>
      <c r="K74">
        <f t="shared" si="3"/>
        <v>55000.000000000007</v>
      </c>
      <c r="L74">
        <v>2722629</v>
      </c>
    </row>
    <row r="75" spans="3:12">
      <c r="C75" t="s">
        <v>286</v>
      </c>
      <c r="D75" t="s">
        <v>373</v>
      </c>
      <c r="E75" t="s">
        <v>462</v>
      </c>
      <c r="F75" t="s">
        <v>445</v>
      </c>
      <c r="G75" s="98" t="s">
        <v>83</v>
      </c>
      <c r="H75">
        <f t="shared" si="2"/>
        <v>69000</v>
      </c>
      <c r="I75" t="s">
        <v>82</v>
      </c>
      <c r="J75">
        <v>46000</v>
      </c>
      <c r="K75">
        <f t="shared" si="3"/>
        <v>50600.000000000007</v>
      </c>
      <c r="L75">
        <v>2153342</v>
      </c>
    </row>
    <row r="76" spans="3:12">
      <c r="C76" t="s">
        <v>287</v>
      </c>
      <c r="D76" t="s">
        <v>373</v>
      </c>
      <c r="E76" t="s">
        <v>462</v>
      </c>
      <c r="F76" t="s">
        <v>445</v>
      </c>
      <c r="G76" s="98" t="s">
        <v>83</v>
      </c>
      <c r="H76">
        <v>65000</v>
      </c>
      <c r="I76" t="s">
        <v>82</v>
      </c>
      <c r="J76">
        <v>43000</v>
      </c>
      <c r="K76">
        <f t="shared" si="3"/>
        <v>47300.000000000007</v>
      </c>
      <c r="L76">
        <v>1946309</v>
      </c>
    </row>
    <row r="77" spans="3:12">
      <c r="C77" t="s">
        <v>288</v>
      </c>
      <c r="D77" t="s">
        <v>373</v>
      </c>
      <c r="E77" t="s">
        <v>463</v>
      </c>
      <c r="G77" s="98" t="s">
        <v>83</v>
      </c>
      <c r="H77">
        <f t="shared" si="2"/>
        <v>93000</v>
      </c>
      <c r="I77" t="s">
        <v>82</v>
      </c>
      <c r="J77">
        <v>62000</v>
      </c>
      <c r="K77">
        <f t="shared" si="3"/>
        <v>68200</v>
      </c>
      <c r="L77">
        <v>2153340</v>
      </c>
    </row>
    <row r="78" spans="3:12">
      <c r="C78" t="s">
        <v>289</v>
      </c>
      <c r="D78" t="s">
        <v>373</v>
      </c>
      <c r="E78" t="s">
        <v>462</v>
      </c>
      <c r="F78" t="s">
        <v>445</v>
      </c>
      <c r="G78" s="98" t="s">
        <v>83</v>
      </c>
      <c r="H78">
        <v>80000</v>
      </c>
      <c r="I78" t="s">
        <v>99</v>
      </c>
      <c r="J78">
        <v>53000</v>
      </c>
      <c r="K78">
        <f t="shared" si="3"/>
        <v>58300.000000000007</v>
      </c>
      <c r="L78">
        <v>3957819</v>
      </c>
    </row>
    <row r="79" spans="3:12">
      <c r="C79" t="s">
        <v>290</v>
      </c>
      <c r="D79" t="s">
        <v>373</v>
      </c>
      <c r="E79" t="s">
        <v>414</v>
      </c>
      <c r="G79" s="98" t="s">
        <v>102</v>
      </c>
      <c r="H79">
        <f t="shared" si="2"/>
        <v>87000</v>
      </c>
      <c r="I79" t="s">
        <v>82</v>
      </c>
      <c r="J79">
        <v>58000</v>
      </c>
      <c r="K79">
        <f t="shared" si="3"/>
        <v>63800.000000000007</v>
      </c>
      <c r="L79">
        <v>3968757</v>
      </c>
    </row>
    <row r="80" spans="3:12">
      <c r="C80" t="s">
        <v>291</v>
      </c>
      <c r="D80" t="s">
        <v>373</v>
      </c>
      <c r="E80" t="s">
        <v>414</v>
      </c>
      <c r="G80" s="98" t="s">
        <v>102</v>
      </c>
      <c r="H80">
        <v>80000</v>
      </c>
      <c r="I80" t="s">
        <v>82</v>
      </c>
      <c r="J80">
        <v>53000</v>
      </c>
      <c r="K80">
        <f t="shared" si="3"/>
        <v>58300.000000000007</v>
      </c>
      <c r="L80">
        <v>3986756</v>
      </c>
    </row>
    <row r="81" spans="3:12">
      <c r="C81" t="s">
        <v>292</v>
      </c>
      <c r="D81" t="s">
        <v>373</v>
      </c>
      <c r="E81" t="s">
        <v>464</v>
      </c>
      <c r="G81" s="98" t="s">
        <v>83</v>
      </c>
      <c r="H81">
        <f t="shared" si="2"/>
        <v>78000</v>
      </c>
      <c r="I81" t="s">
        <v>82</v>
      </c>
      <c r="J81">
        <v>52000</v>
      </c>
      <c r="K81">
        <f t="shared" si="3"/>
        <v>57200.000000000007</v>
      </c>
      <c r="L81">
        <v>1359834</v>
      </c>
    </row>
    <row r="82" spans="3:12">
      <c r="C82" t="s">
        <v>293</v>
      </c>
      <c r="D82" t="s">
        <v>373</v>
      </c>
      <c r="E82" t="s">
        <v>464</v>
      </c>
      <c r="G82" s="98" t="s">
        <v>102</v>
      </c>
      <c r="H82">
        <v>68000</v>
      </c>
      <c r="I82" t="s">
        <v>82</v>
      </c>
      <c r="J82">
        <v>45000</v>
      </c>
      <c r="K82">
        <f t="shared" si="3"/>
        <v>49500.000000000007</v>
      </c>
      <c r="L82">
        <v>2127639</v>
      </c>
    </row>
    <row r="83" spans="3:12">
      <c r="C83" t="s">
        <v>294</v>
      </c>
      <c r="D83" t="s">
        <v>373</v>
      </c>
      <c r="E83" t="s">
        <v>464</v>
      </c>
      <c r="G83" s="98" t="s">
        <v>97</v>
      </c>
      <c r="H83">
        <f t="shared" si="2"/>
        <v>54000</v>
      </c>
      <c r="I83" t="s">
        <v>82</v>
      </c>
      <c r="J83">
        <v>36000</v>
      </c>
      <c r="K83">
        <f t="shared" si="3"/>
        <v>39600</v>
      </c>
      <c r="L83">
        <v>3111557</v>
      </c>
    </row>
    <row r="84" spans="3:12">
      <c r="C84" t="s">
        <v>295</v>
      </c>
      <c r="D84" t="s">
        <v>373</v>
      </c>
      <c r="E84" t="s">
        <v>465</v>
      </c>
      <c r="G84" s="98" t="s">
        <v>466</v>
      </c>
      <c r="H84">
        <f t="shared" si="2"/>
        <v>30000</v>
      </c>
      <c r="I84" t="s">
        <v>91</v>
      </c>
      <c r="J84">
        <v>20000</v>
      </c>
      <c r="K84">
        <f t="shared" si="3"/>
        <v>22000</v>
      </c>
      <c r="L84">
        <v>5513273</v>
      </c>
    </row>
    <row r="85" spans="3:12">
      <c r="C85" t="s">
        <v>296</v>
      </c>
      <c r="D85" t="s">
        <v>373</v>
      </c>
      <c r="E85" t="s">
        <v>467</v>
      </c>
      <c r="G85" s="98" t="s">
        <v>468</v>
      </c>
      <c r="H85">
        <f t="shared" si="2"/>
        <v>49500</v>
      </c>
      <c r="I85" t="s">
        <v>91</v>
      </c>
      <c r="J85">
        <v>33000</v>
      </c>
      <c r="K85">
        <f t="shared" si="3"/>
        <v>36300</v>
      </c>
      <c r="L85">
        <v>5700586</v>
      </c>
    </row>
    <row r="86" spans="3:12">
      <c r="C86" t="s">
        <v>297</v>
      </c>
      <c r="D86" t="s">
        <v>373</v>
      </c>
      <c r="E86" t="s">
        <v>469</v>
      </c>
      <c r="G86" s="98" t="s">
        <v>470</v>
      </c>
      <c r="H86">
        <f t="shared" si="2"/>
        <v>42000</v>
      </c>
      <c r="I86" t="s">
        <v>77</v>
      </c>
      <c r="J86">
        <v>28000</v>
      </c>
      <c r="K86">
        <f t="shared" si="3"/>
        <v>30800.000000000004</v>
      </c>
      <c r="L86">
        <v>3986141</v>
      </c>
    </row>
    <row r="87" spans="3:12">
      <c r="C87" t="s">
        <v>298</v>
      </c>
      <c r="D87" t="s">
        <v>373</v>
      </c>
      <c r="E87" t="s">
        <v>456</v>
      </c>
      <c r="G87" s="98" t="s">
        <v>102</v>
      </c>
      <c r="H87">
        <f t="shared" si="2"/>
        <v>90000</v>
      </c>
      <c r="I87" t="s">
        <v>82</v>
      </c>
      <c r="J87">
        <v>60000</v>
      </c>
      <c r="K87">
        <f t="shared" si="3"/>
        <v>66000</v>
      </c>
      <c r="L87">
        <v>4755270</v>
      </c>
    </row>
    <row r="88" spans="3:12">
      <c r="C88" t="s">
        <v>299</v>
      </c>
      <c r="D88" t="s">
        <v>373</v>
      </c>
      <c r="E88" t="s">
        <v>471</v>
      </c>
      <c r="G88" s="98" t="s">
        <v>83</v>
      </c>
      <c r="H88">
        <f t="shared" si="2"/>
        <v>87000</v>
      </c>
      <c r="I88" t="s">
        <v>99</v>
      </c>
      <c r="J88">
        <v>58000</v>
      </c>
      <c r="K88">
        <f t="shared" si="3"/>
        <v>63800.000000000007</v>
      </c>
      <c r="L88">
        <v>3402817</v>
      </c>
    </row>
    <row r="89" spans="3:12">
      <c r="C89" t="s">
        <v>300</v>
      </c>
      <c r="D89" t="s">
        <v>373</v>
      </c>
      <c r="E89" t="s">
        <v>472</v>
      </c>
      <c r="G89" s="98" t="s">
        <v>473</v>
      </c>
      <c r="H89">
        <v>30000</v>
      </c>
      <c r="I89" t="s">
        <v>474</v>
      </c>
      <c r="J89">
        <v>13000</v>
      </c>
      <c r="K89">
        <f t="shared" si="3"/>
        <v>14300.000000000002</v>
      </c>
      <c r="L89">
        <v>5700875</v>
      </c>
    </row>
    <row r="90" spans="3:12">
      <c r="C90" t="s">
        <v>301</v>
      </c>
      <c r="D90" t="s">
        <v>373</v>
      </c>
      <c r="E90" t="s">
        <v>475</v>
      </c>
      <c r="G90" s="98" t="s">
        <v>476</v>
      </c>
      <c r="H90">
        <f t="shared" si="2"/>
        <v>24000</v>
      </c>
      <c r="I90" t="s">
        <v>77</v>
      </c>
      <c r="J90">
        <v>16000</v>
      </c>
      <c r="K90">
        <f t="shared" si="3"/>
        <v>17600</v>
      </c>
      <c r="L90">
        <v>3361171</v>
      </c>
    </row>
    <row r="91" spans="3:12">
      <c r="C91" t="s">
        <v>302</v>
      </c>
      <c r="D91" t="s">
        <v>477</v>
      </c>
      <c r="E91" t="s">
        <v>478</v>
      </c>
      <c r="G91" s="98" t="s">
        <v>479</v>
      </c>
      <c r="H91">
        <v>11000</v>
      </c>
      <c r="I91" t="s">
        <v>474</v>
      </c>
      <c r="J91">
        <v>7000</v>
      </c>
      <c r="K91">
        <f t="shared" si="3"/>
        <v>7700.0000000000009</v>
      </c>
      <c r="L91">
        <v>2668259</v>
      </c>
    </row>
    <row r="92" spans="3:12">
      <c r="C92" t="s">
        <v>303</v>
      </c>
      <c r="D92" t="s">
        <v>480</v>
      </c>
      <c r="E92" t="s">
        <v>481</v>
      </c>
      <c r="G92" s="98" t="s">
        <v>97</v>
      </c>
      <c r="H92">
        <v>42000</v>
      </c>
      <c r="I92" t="s">
        <v>366</v>
      </c>
      <c r="J92">
        <v>27500</v>
      </c>
      <c r="K92">
        <f t="shared" si="3"/>
        <v>30250.000000000004</v>
      </c>
      <c r="L92">
        <v>2876990</v>
      </c>
    </row>
    <row r="93" spans="3:12">
      <c r="C93" t="s">
        <v>304</v>
      </c>
      <c r="D93" t="s">
        <v>408</v>
      </c>
      <c r="E93" t="s">
        <v>482</v>
      </c>
      <c r="G93" s="98" t="s">
        <v>83</v>
      </c>
      <c r="H93">
        <v>77000</v>
      </c>
      <c r="I93" t="s">
        <v>82</v>
      </c>
      <c r="J93">
        <v>51000</v>
      </c>
      <c r="K93">
        <f t="shared" si="3"/>
        <v>56100.000000000007</v>
      </c>
      <c r="L93">
        <v>2262662</v>
      </c>
    </row>
    <row r="94" spans="3:12">
      <c r="C94" t="s">
        <v>305</v>
      </c>
      <c r="D94" t="s">
        <v>408</v>
      </c>
      <c r="E94" t="s">
        <v>483</v>
      </c>
      <c r="F94" t="s">
        <v>484</v>
      </c>
      <c r="G94" s="98" t="s">
        <v>83</v>
      </c>
      <c r="H94">
        <f t="shared" si="2"/>
        <v>72000</v>
      </c>
      <c r="I94" t="s">
        <v>82</v>
      </c>
      <c r="J94">
        <v>48000</v>
      </c>
      <c r="K94">
        <f t="shared" si="3"/>
        <v>52800.000000000007</v>
      </c>
      <c r="L94">
        <v>2888578</v>
      </c>
    </row>
    <row r="95" spans="3:12">
      <c r="C95" t="s">
        <v>306</v>
      </c>
      <c r="D95" t="s">
        <v>408</v>
      </c>
      <c r="E95" t="s">
        <v>485</v>
      </c>
      <c r="F95" t="s">
        <v>404</v>
      </c>
      <c r="G95" s="98" t="s">
        <v>83</v>
      </c>
      <c r="H95">
        <f t="shared" si="2"/>
        <v>54000</v>
      </c>
      <c r="I95" t="s">
        <v>82</v>
      </c>
      <c r="J95">
        <v>36000</v>
      </c>
      <c r="K95">
        <f t="shared" si="3"/>
        <v>39600</v>
      </c>
      <c r="L95">
        <v>3982591</v>
      </c>
    </row>
    <row r="96" spans="3:12">
      <c r="C96" t="s">
        <v>307</v>
      </c>
      <c r="D96" t="s">
        <v>408</v>
      </c>
      <c r="E96" t="s">
        <v>486</v>
      </c>
      <c r="G96" s="98" t="s">
        <v>83</v>
      </c>
      <c r="H96">
        <v>44000</v>
      </c>
      <c r="I96" t="s">
        <v>82</v>
      </c>
      <c r="J96">
        <v>29000</v>
      </c>
      <c r="K96">
        <f t="shared" si="3"/>
        <v>31900.000000000004</v>
      </c>
      <c r="L96">
        <v>3135752</v>
      </c>
    </row>
    <row r="97" spans="3:12">
      <c r="C97" t="s">
        <v>308</v>
      </c>
      <c r="D97" t="s">
        <v>487</v>
      </c>
      <c r="E97" t="s">
        <v>488</v>
      </c>
      <c r="G97" s="98" t="s">
        <v>97</v>
      </c>
      <c r="H97">
        <f t="shared" si="2"/>
        <v>114000</v>
      </c>
      <c r="I97" t="s">
        <v>82</v>
      </c>
      <c r="J97">
        <v>76000</v>
      </c>
      <c r="K97">
        <f t="shared" si="3"/>
        <v>83600</v>
      </c>
      <c r="L97">
        <v>5512338</v>
      </c>
    </row>
    <row r="98" spans="3:12">
      <c r="C98" t="s">
        <v>309</v>
      </c>
      <c r="D98" t="s">
        <v>489</v>
      </c>
      <c r="E98" t="s">
        <v>490</v>
      </c>
      <c r="G98" s="98" t="s">
        <v>83</v>
      </c>
      <c r="H98">
        <f>J98*1.5</f>
        <v>48000</v>
      </c>
      <c r="I98" t="s">
        <v>82</v>
      </c>
      <c r="J98">
        <v>32000</v>
      </c>
      <c r="K98">
        <f t="shared" si="3"/>
        <v>35200</v>
      </c>
      <c r="L98">
        <v>5510277</v>
      </c>
    </row>
    <row r="99" spans="3:12">
      <c r="C99" t="s">
        <v>310</v>
      </c>
      <c r="D99" t="s">
        <v>491</v>
      </c>
      <c r="E99" t="s">
        <v>492</v>
      </c>
      <c r="G99" s="98" t="s">
        <v>97</v>
      </c>
      <c r="H99">
        <f t="shared" si="2"/>
        <v>7500</v>
      </c>
      <c r="I99" t="s">
        <v>120</v>
      </c>
      <c r="J99">
        <v>5000</v>
      </c>
      <c r="K99">
        <f t="shared" si="3"/>
        <v>5500</v>
      </c>
      <c r="L99">
        <v>4525016</v>
      </c>
    </row>
    <row r="100" spans="3:12">
      <c r="C100" t="s">
        <v>311</v>
      </c>
      <c r="D100" t="s">
        <v>491</v>
      </c>
      <c r="E100" t="s">
        <v>492</v>
      </c>
      <c r="G100" s="98" t="s">
        <v>97</v>
      </c>
      <c r="H100">
        <f t="shared" si="2"/>
        <v>4500</v>
      </c>
      <c r="I100" t="s">
        <v>120</v>
      </c>
      <c r="J100">
        <v>3000</v>
      </c>
      <c r="K100">
        <f t="shared" si="3"/>
        <v>3300.0000000000005</v>
      </c>
      <c r="L100">
        <v>5512972</v>
      </c>
    </row>
    <row r="101" spans="3:12">
      <c r="C101" t="s">
        <v>312</v>
      </c>
      <c r="D101" t="s">
        <v>491</v>
      </c>
      <c r="E101" t="s">
        <v>492</v>
      </c>
      <c r="G101" s="98" t="s">
        <v>97</v>
      </c>
      <c r="H101">
        <f t="shared" si="2"/>
        <v>4500</v>
      </c>
      <c r="I101" t="s">
        <v>120</v>
      </c>
      <c r="J101">
        <v>3000</v>
      </c>
      <c r="K101">
        <f t="shared" si="3"/>
        <v>3300.0000000000005</v>
      </c>
      <c r="L101">
        <v>5512983</v>
      </c>
    </row>
    <row r="102" spans="3:12">
      <c r="C102" t="s">
        <v>313</v>
      </c>
      <c r="D102" t="s">
        <v>491</v>
      </c>
      <c r="E102" t="s">
        <v>492</v>
      </c>
      <c r="G102" s="98" t="s">
        <v>97</v>
      </c>
      <c r="H102">
        <f t="shared" si="2"/>
        <v>4500</v>
      </c>
      <c r="I102" t="s">
        <v>120</v>
      </c>
      <c r="J102">
        <v>3000</v>
      </c>
      <c r="K102">
        <f t="shared" si="3"/>
        <v>3300.0000000000005</v>
      </c>
      <c r="L102">
        <v>5512985</v>
      </c>
    </row>
    <row r="103" spans="3:12">
      <c r="C103" t="s">
        <v>314</v>
      </c>
      <c r="D103" t="s">
        <v>353</v>
      </c>
      <c r="E103" t="s">
        <v>493</v>
      </c>
      <c r="F103" t="s">
        <v>494</v>
      </c>
      <c r="G103" s="98" t="s">
        <v>382</v>
      </c>
      <c r="H103">
        <f t="shared" si="2"/>
        <v>180000</v>
      </c>
      <c r="I103" t="s">
        <v>80</v>
      </c>
      <c r="J103">
        <v>120000</v>
      </c>
      <c r="K103">
        <f t="shared" si="3"/>
        <v>132000</v>
      </c>
      <c r="L103">
        <v>2347262</v>
      </c>
    </row>
    <row r="104" spans="3:12">
      <c r="C104" t="s">
        <v>315</v>
      </c>
      <c r="D104" t="s">
        <v>373</v>
      </c>
      <c r="E104" t="s">
        <v>495</v>
      </c>
      <c r="G104" s="98" t="s">
        <v>83</v>
      </c>
      <c r="H104">
        <v>68000</v>
      </c>
      <c r="I104" t="s">
        <v>80</v>
      </c>
      <c r="J104">
        <v>45000</v>
      </c>
      <c r="K104">
        <f t="shared" si="3"/>
        <v>49500.000000000007</v>
      </c>
      <c r="L104">
        <v>1071745</v>
      </c>
    </row>
    <row r="105" spans="3:12">
      <c r="C105" t="s">
        <v>316</v>
      </c>
      <c r="D105" t="s">
        <v>408</v>
      </c>
      <c r="E105" t="s">
        <v>496</v>
      </c>
      <c r="G105" s="98" t="s">
        <v>83</v>
      </c>
      <c r="H105">
        <v>35000</v>
      </c>
      <c r="I105" t="s">
        <v>82</v>
      </c>
      <c r="J105">
        <v>23000</v>
      </c>
      <c r="K105">
        <f t="shared" si="3"/>
        <v>25300.000000000004</v>
      </c>
      <c r="L105">
        <v>3984876</v>
      </c>
    </row>
    <row r="106" spans="3:12">
      <c r="C106" t="s">
        <v>317</v>
      </c>
      <c r="D106" t="s">
        <v>353</v>
      </c>
      <c r="E106" t="s">
        <v>497</v>
      </c>
      <c r="G106" s="98" t="s">
        <v>498</v>
      </c>
      <c r="H106">
        <v>20000</v>
      </c>
      <c r="I106" t="s">
        <v>82</v>
      </c>
      <c r="J106">
        <v>13000</v>
      </c>
      <c r="K106">
        <f t="shared" si="3"/>
        <v>14300.000000000002</v>
      </c>
      <c r="L106">
        <v>3296270</v>
      </c>
    </row>
    <row r="107" spans="3:12">
      <c r="C107" t="s">
        <v>318</v>
      </c>
      <c r="D107" t="s">
        <v>477</v>
      </c>
      <c r="E107" t="s">
        <v>499</v>
      </c>
      <c r="G107" s="98" t="s">
        <v>83</v>
      </c>
      <c r="H107">
        <f t="shared" si="2"/>
        <v>12000</v>
      </c>
      <c r="I107" t="s">
        <v>91</v>
      </c>
      <c r="J107">
        <v>8000</v>
      </c>
      <c r="K107">
        <f t="shared" si="3"/>
        <v>8800</v>
      </c>
      <c r="L107">
        <v>1656703</v>
      </c>
    </row>
    <row r="108" spans="3:12">
      <c r="C108" t="s">
        <v>319</v>
      </c>
    </row>
    <row r="109" spans="3:12">
      <c r="C109" t="s">
        <v>320</v>
      </c>
    </row>
    <row r="110" spans="3:12">
      <c r="C110" t="s">
        <v>321</v>
      </c>
    </row>
    <row r="111" spans="3:12">
      <c r="C111" t="s">
        <v>322</v>
      </c>
    </row>
    <row r="112" spans="3:12">
      <c r="C112" t="s">
        <v>323</v>
      </c>
    </row>
    <row r="113" spans="3:3">
      <c r="C113" t="s">
        <v>324</v>
      </c>
    </row>
    <row r="114" spans="3:3">
      <c r="C114" t="s">
        <v>325</v>
      </c>
    </row>
    <row r="115" spans="3:3">
      <c r="C115" t="s">
        <v>326</v>
      </c>
    </row>
    <row r="116" spans="3:3">
      <c r="C116" t="s">
        <v>327</v>
      </c>
    </row>
    <row r="117" spans="3:3">
      <c r="C117" t="s">
        <v>328</v>
      </c>
    </row>
    <row r="118" spans="3:3">
      <c r="C118" t="s">
        <v>329</v>
      </c>
    </row>
    <row r="119" spans="3:3">
      <c r="C119" t="s">
        <v>330</v>
      </c>
    </row>
    <row r="120" spans="3:3">
      <c r="C120" t="s">
        <v>331</v>
      </c>
    </row>
    <row r="121" spans="3:3">
      <c r="C121" t="s">
        <v>332</v>
      </c>
    </row>
    <row r="122" spans="3:3">
      <c r="C122" t="s">
        <v>333</v>
      </c>
    </row>
    <row r="123" spans="3:3">
      <c r="C123" t="s">
        <v>334</v>
      </c>
    </row>
    <row r="124" spans="3:3">
      <c r="C124" t="s">
        <v>335</v>
      </c>
    </row>
    <row r="125" spans="3:3">
      <c r="C125" t="s">
        <v>336</v>
      </c>
    </row>
    <row r="126" spans="3:3">
      <c r="C126" t="s">
        <v>337</v>
      </c>
    </row>
    <row r="127" spans="3:3">
      <c r="C127" t="s">
        <v>338</v>
      </c>
    </row>
    <row r="128" spans="3:3">
      <c r="C128" t="s">
        <v>339</v>
      </c>
    </row>
    <row r="129" spans="3:3">
      <c r="C129" t="s">
        <v>340</v>
      </c>
    </row>
    <row r="130" spans="3:3">
      <c r="C130" t="s">
        <v>341</v>
      </c>
    </row>
    <row r="131" spans="3:3">
      <c r="C131" t="s">
        <v>342</v>
      </c>
    </row>
    <row r="132" spans="3:3">
      <c r="C132" t="s">
        <v>343</v>
      </c>
    </row>
    <row r="133" spans="3:3">
      <c r="C133" t="s">
        <v>344</v>
      </c>
    </row>
    <row r="134" spans="3:3">
      <c r="C134" t="s">
        <v>345</v>
      </c>
    </row>
    <row r="135" spans="3:3">
      <c r="C135" t="s">
        <v>346</v>
      </c>
    </row>
    <row r="136" spans="3:3">
      <c r="C136" t="s">
        <v>347</v>
      </c>
    </row>
    <row r="137" spans="3:3">
      <c r="C137" t="s">
        <v>348</v>
      </c>
    </row>
    <row r="138" spans="3:3">
      <c r="C138" t="s">
        <v>349</v>
      </c>
    </row>
    <row r="139" spans="3:3">
      <c r="C139" t="s">
        <v>350</v>
      </c>
    </row>
    <row r="140" spans="3:3">
      <c r="C140" t="s">
        <v>351</v>
      </c>
    </row>
    <row r="141" spans="3:3">
      <c r="C141" t="s">
        <v>352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62D5-112F-4038-A7EA-F2177BCAD308}">
  <dimension ref="A1:U109"/>
  <sheetViews>
    <sheetView topLeftCell="C1" workbookViewId="0">
      <selection activeCell="O51" sqref="O51:U51"/>
    </sheetView>
  </sheetViews>
  <sheetFormatPr defaultRowHeight="19.2"/>
  <cols>
    <col min="1" max="1" width="11.59765625" hidden="1" customWidth="1"/>
    <col min="2" max="2" width="14.09765625" hidden="1" customWidth="1"/>
    <col min="3" max="3" width="9" style="32" customWidth="1"/>
    <col min="4" max="4" width="13.69921875" customWidth="1"/>
    <col min="5" max="5" width="18.8984375" customWidth="1"/>
    <col min="6" max="6" width="19.3984375" hidden="1" customWidth="1"/>
    <col min="7" max="7" width="20.59765625" hidden="1" customWidth="1"/>
    <col min="8" max="8" width="10.5" bestFit="1" customWidth="1"/>
    <col min="9" max="9" width="8.8984375" customWidth="1"/>
    <col min="10" max="10" width="8.3984375" style="43" customWidth="1"/>
    <col min="11" max="11" width="11.59765625" style="43" bestFit="1" customWidth="1"/>
    <col min="12" max="12" width="16" style="33" customWidth="1"/>
    <col min="13" max="13" width="10.8984375" customWidth="1"/>
    <col min="14" max="14" width="9" customWidth="1"/>
    <col min="15" max="15" width="18.09765625" customWidth="1"/>
    <col min="16" max="16" width="11.69921875" customWidth="1"/>
    <col min="17" max="17" width="13.59765625" customWidth="1"/>
    <col min="18" max="18" width="17.8984375" customWidth="1"/>
    <col min="19" max="19" width="17.09765625" customWidth="1"/>
    <col min="20" max="20" width="11.59765625" customWidth="1"/>
    <col min="21" max="21" width="13.69921875" customWidth="1"/>
  </cols>
  <sheetData>
    <row r="1" spans="1:21" ht="19.8" thickBot="1">
      <c r="A1" s="10" t="s">
        <v>25</v>
      </c>
      <c r="B1" s="20" t="s">
        <v>26</v>
      </c>
      <c r="C1" s="28" t="s">
        <v>6</v>
      </c>
      <c r="D1" s="14" t="s">
        <v>0</v>
      </c>
      <c r="E1" s="38" t="s">
        <v>62</v>
      </c>
      <c r="F1" s="8" t="s">
        <v>61</v>
      </c>
      <c r="G1" s="39" t="s">
        <v>3</v>
      </c>
      <c r="H1" s="15" t="s">
        <v>1</v>
      </c>
      <c r="I1" s="40" t="s">
        <v>2</v>
      </c>
      <c r="J1" s="10" t="s">
        <v>4</v>
      </c>
      <c r="K1" s="10" t="s">
        <v>24</v>
      </c>
      <c r="L1" s="44" t="s">
        <v>63</v>
      </c>
      <c r="M1" s="27" t="s">
        <v>64</v>
      </c>
      <c r="O1" s="35" t="s">
        <v>67</v>
      </c>
      <c r="P1" s="35" t="s">
        <v>5</v>
      </c>
      <c r="Q1" s="35" t="s">
        <v>207</v>
      </c>
      <c r="R1" s="35" t="s">
        <v>73</v>
      </c>
      <c r="S1" s="1" t="s">
        <v>74</v>
      </c>
      <c r="U1" s="1" t="s">
        <v>75</v>
      </c>
    </row>
    <row r="2" spans="1:21" ht="27.6" thickBot="1">
      <c r="A2" s="4"/>
      <c r="B2" s="4"/>
      <c r="C2" s="46" t="s">
        <v>68</v>
      </c>
      <c r="D2" s="47" t="s">
        <v>128</v>
      </c>
      <c r="E2" s="48" t="s">
        <v>129</v>
      </c>
      <c r="F2" s="49" t="s">
        <v>130</v>
      </c>
      <c r="G2" s="50" t="s">
        <v>78</v>
      </c>
      <c r="H2" s="21">
        <v>750000</v>
      </c>
      <c r="I2" s="50" t="s">
        <v>77</v>
      </c>
      <c r="J2" s="41">
        <v>500000</v>
      </c>
      <c r="K2" s="21">
        <f t="shared" ref="K2:K19" si="0">J2*1.1</f>
        <v>550000</v>
      </c>
      <c r="L2" s="51">
        <v>4479929</v>
      </c>
      <c r="N2" t="s">
        <v>199</v>
      </c>
      <c r="O2">
        <v>770000</v>
      </c>
      <c r="P2">
        <v>23100</v>
      </c>
      <c r="Q2" s="79">
        <v>-15400</v>
      </c>
      <c r="R2">
        <f>O2*1.1</f>
        <v>847000.00000000012</v>
      </c>
      <c r="S2">
        <f t="shared" ref="S2:S51" si="1">P2*1.1</f>
        <v>25410.000000000004</v>
      </c>
      <c r="U2">
        <v>820050</v>
      </c>
    </row>
    <row r="3" spans="1:21" ht="40.200000000000003" thickBot="1">
      <c r="A3" s="4"/>
      <c r="B3" s="4"/>
      <c r="C3" s="46" t="s">
        <v>15</v>
      </c>
      <c r="D3" s="47" t="s">
        <v>149</v>
      </c>
      <c r="E3" s="67" t="s">
        <v>150</v>
      </c>
      <c r="F3" s="49"/>
      <c r="G3" s="2" t="s">
        <v>92</v>
      </c>
      <c r="H3" s="21">
        <v>100000</v>
      </c>
      <c r="I3" s="2" t="s">
        <v>91</v>
      </c>
      <c r="J3" s="41">
        <v>66000</v>
      </c>
      <c r="K3" s="21">
        <f t="shared" si="0"/>
        <v>72600</v>
      </c>
      <c r="L3" s="52">
        <v>2321083</v>
      </c>
      <c r="N3" t="s">
        <v>15</v>
      </c>
      <c r="O3">
        <v>120000</v>
      </c>
      <c r="P3">
        <v>6000</v>
      </c>
      <c r="Q3">
        <v>0</v>
      </c>
      <c r="R3">
        <f t="shared" ref="R3:R51" si="2">O3*1.1</f>
        <v>132000</v>
      </c>
      <c r="S3">
        <f t="shared" si="1"/>
        <v>6600.0000000000009</v>
      </c>
      <c r="U3">
        <f t="shared" ref="U3:U51" si="3">R3-(S3-Q3)</f>
        <v>125400</v>
      </c>
    </row>
    <row r="4" spans="1:21" ht="40.200000000000003" thickBot="1">
      <c r="A4" s="4"/>
      <c r="B4" s="4"/>
      <c r="C4" s="46" t="s">
        <v>7</v>
      </c>
      <c r="D4" s="47" t="s">
        <v>128</v>
      </c>
      <c r="E4" s="6" t="s">
        <v>131</v>
      </c>
      <c r="F4" s="49" t="s">
        <v>132</v>
      </c>
      <c r="G4" s="2" t="s">
        <v>79</v>
      </c>
      <c r="H4" s="21">
        <v>117000</v>
      </c>
      <c r="I4" s="2" t="s">
        <v>80</v>
      </c>
      <c r="J4" s="41">
        <v>78000</v>
      </c>
      <c r="K4" s="21">
        <f t="shared" si="0"/>
        <v>85800</v>
      </c>
      <c r="L4" s="52">
        <v>4719540</v>
      </c>
      <c r="N4" t="s">
        <v>7</v>
      </c>
      <c r="O4">
        <v>72000</v>
      </c>
      <c r="P4">
        <v>3600</v>
      </c>
      <c r="Q4">
        <v>0</v>
      </c>
      <c r="R4">
        <f t="shared" si="2"/>
        <v>79200</v>
      </c>
      <c r="S4">
        <f t="shared" si="1"/>
        <v>3960.0000000000005</v>
      </c>
      <c r="U4">
        <f t="shared" si="3"/>
        <v>75240</v>
      </c>
    </row>
    <row r="5" spans="1:21" ht="40.200000000000003" thickBot="1">
      <c r="A5" s="4"/>
      <c r="B5" s="4"/>
      <c r="C5" s="46" t="s">
        <v>8</v>
      </c>
      <c r="D5" s="47" t="s">
        <v>133</v>
      </c>
      <c r="E5" s="6" t="s">
        <v>134</v>
      </c>
      <c r="F5" s="49" t="s">
        <v>135</v>
      </c>
      <c r="G5" s="2" t="s">
        <v>81</v>
      </c>
      <c r="H5" s="21">
        <v>277000</v>
      </c>
      <c r="I5" s="2" t="s">
        <v>82</v>
      </c>
      <c r="J5" s="41">
        <v>184500</v>
      </c>
      <c r="K5" s="21">
        <f t="shared" si="0"/>
        <v>202950.00000000003</v>
      </c>
      <c r="L5" s="52">
        <v>4705779</v>
      </c>
      <c r="N5" t="s">
        <v>8</v>
      </c>
      <c r="O5">
        <v>215000</v>
      </c>
      <c r="P5">
        <v>10750</v>
      </c>
      <c r="Q5">
        <v>0</v>
      </c>
      <c r="R5">
        <f t="shared" si="2"/>
        <v>236500.00000000003</v>
      </c>
      <c r="S5">
        <f t="shared" si="1"/>
        <v>11825.000000000002</v>
      </c>
      <c r="U5">
        <f t="shared" si="3"/>
        <v>224675.00000000003</v>
      </c>
    </row>
    <row r="6" spans="1:21" ht="27" thickBot="1">
      <c r="A6" s="4"/>
      <c r="B6" s="4"/>
      <c r="C6" s="46" t="s">
        <v>9</v>
      </c>
      <c r="D6" s="47" t="s">
        <v>133</v>
      </c>
      <c r="E6" s="6" t="s">
        <v>136</v>
      </c>
      <c r="F6" s="49" t="s">
        <v>135</v>
      </c>
      <c r="G6" s="2" t="s">
        <v>84</v>
      </c>
      <c r="H6" s="21">
        <v>180000</v>
      </c>
      <c r="I6" s="2" t="s">
        <v>82</v>
      </c>
      <c r="J6" s="41">
        <v>143000</v>
      </c>
      <c r="K6" s="21">
        <f t="shared" si="0"/>
        <v>157300</v>
      </c>
      <c r="L6" s="52">
        <v>3969047</v>
      </c>
      <c r="N6" t="s">
        <v>9</v>
      </c>
      <c r="O6">
        <v>0</v>
      </c>
      <c r="P6">
        <v>0</v>
      </c>
      <c r="Q6">
        <v>0</v>
      </c>
      <c r="R6">
        <v>0</v>
      </c>
      <c r="S6">
        <f t="shared" si="1"/>
        <v>0</v>
      </c>
      <c r="U6">
        <f t="shared" si="3"/>
        <v>0</v>
      </c>
    </row>
    <row r="7" spans="1:21" ht="27" thickBot="1">
      <c r="A7" s="4"/>
      <c r="B7" s="4"/>
      <c r="C7" s="46" t="s">
        <v>10</v>
      </c>
      <c r="D7" s="47" t="s">
        <v>133</v>
      </c>
      <c r="E7" s="6" t="s">
        <v>137</v>
      </c>
      <c r="F7" s="49" t="s">
        <v>138</v>
      </c>
      <c r="G7" s="2" t="s">
        <v>85</v>
      </c>
      <c r="H7" s="21">
        <v>171000</v>
      </c>
      <c r="I7" s="2" t="s">
        <v>82</v>
      </c>
      <c r="J7" s="41">
        <v>114000</v>
      </c>
      <c r="K7" s="21">
        <f t="shared" si="0"/>
        <v>125400.00000000001</v>
      </c>
      <c r="L7" s="53">
        <v>1394398</v>
      </c>
      <c r="N7" t="s">
        <v>10</v>
      </c>
      <c r="O7">
        <v>120000</v>
      </c>
      <c r="P7">
        <v>6000</v>
      </c>
      <c r="Q7">
        <v>0</v>
      </c>
      <c r="R7">
        <f t="shared" si="2"/>
        <v>132000</v>
      </c>
      <c r="S7">
        <f t="shared" si="1"/>
        <v>6600.0000000000009</v>
      </c>
      <c r="U7">
        <f t="shared" si="3"/>
        <v>125400</v>
      </c>
    </row>
    <row r="8" spans="1:21" ht="27" thickBot="1">
      <c r="A8" s="4"/>
      <c r="B8" s="4"/>
      <c r="C8" s="46" t="s">
        <v>11</v>
      </c>
      <c r="D8" s="47" t="s">
        <v>139</v>
      </c>
      <c r="E8" s="6" t="s">
        <v>140</v>
      </c>
      <c r="F8" s="49"/>
      <c r="G8" s="2" t="s">
        <v>86</v>
      </c>
      <c r="H8" s="21">
        <v>122000</v>
      </c>
      <c r="I8" s="2" t="s">
        <v>80</v>
      </c>
      <c r="J8" s="41">
        <v>81000</v>
      </c>
      <c r="K8" s="21">
        <f t="shared" si="0"/>
        <v>89100</v>
      </c>
      <c r="L8" s="52">
        <v>3130231</v>
      </c>
      <c r="N8" t="s">
        <v>11</v>
      </c>
      <c r="O8">
        <v>120000</v>
      </c>
      <c r="P8">
        <v>6000</v>
      </c>
      <c r="Q8">
        <v>0</v>
      </c>
      <c r="R8">
        <f t="shared" si="2"/>
        <v>132000</v>
      </c>
      <c r="S8">
        <f t="shared" si="1"/>
        <v>6600.0000000000009</v>
      </c>
      <c r="U8">
        <f t="shared" si="3"/>
        <v>125400</v>
      </c>
    </row>
    <row r="9" spans="1:21" ht="27" thickBot="1">
      <c r="A9" s="4"/>
      <c r="B9" s="4"/>
      <c r="C9" s="46" t="s">
        <v>12</v>
      </c>
      <c r="D9" s="47" t="s">
        <v>141</v>
      </c>
      <c r="E9" s="6" t="s">
        <v>142</v>
      </c>
      <c r="F9" s="49" t="s">
        <v>143</v>
      </c>
      <c r="G9" s="2" t="s">
        <v>87</v>
      </c>
      <c r="H9" s="21">
        <v>189000</v>
      </c>
      <c r="I9" s="2" t="s">
        <v>82</v>
      </c>
      <c r="J9" s="41">
        <v>126000</v>
      </c>
      <c r="K9" s="21">
        <f t="shared" si="0"/>
        <v>138600</v>
      </c>
      <c r="L9" s="54">
        <v>4726427</v>
      </c>
      <c r="N9" t="s">
        <v>12</v>
      </c>
      <c r="O9">
        <v>116000</v>
      </c>
      <c r="P9">
        <v>5800</v>
      </c>
      <c r="Q9">
        <v>0</v>
      </c>
      <c r="R9">
        <f t="shared" si="2"/>
        <v>127600.00000000001</v>
      </c>
      <c r="S9">
        <f t="shared" si="1"/>
        <v>6380.0000000000009</v>
      </c>
      <c r="U9">
        <f t="shared" si="3"/>
        <v>121220.00000000001</v>
      </c>
    </row>
    <row r="10" spans="1:21" ht="27" thickBot="1">
      <c r="A10" s="4"/>
      <c r="B10" s="4"/>
      <c r="C10" s="46" t="s">
        <v>13</v>
      </c>
      <c r="D10" s="47" t="s">
        <v>141</v>
      </c>
      <c r="E10" s="6" t="s">
        <v>144</v>
      </c>
      <c r="F10" s="49" t="s">
        <v>145</v>
      </c>
      <c r="G10" s="2" t="s">
        <v>89</v>
      </c>
      <c r="H10" s="21">
        <v>41000</v>
      </c>
      <c r="I10" s="2" t="s">
        <v>80</v>
      </c>
      <c r="J10" s="41">
        <v>27000</v>
      </c>
      <c r="K10" s="21">
        <f t="shared" si="0"/>
        <v>29700.000000000004</v>
      </c>
      <c r="L10" s="52">
        <v>2551058</v>
      </c>
      <c r="N10" t="s">
        <v>13</v>
      </c>
      <c r="O10">
        <v>30000</v>
      </c>
      <c r="P10">
        <v>1500</v>
      </c>
      <c r="Q10">
        <v>0</v>
      </c>
      <c r="R10">
        <f t="shared" si="2"/>
        <v>33000</v>
      </c>
      <c r="S10">
        <f t="shared" si="1"/>
        <v>1650.0000000000002</v>
      </c>
      <c r="U10">
        <f t="shared" si="3"/>
        <v>31350</v>
      </c>
    </row>
    <row r="11" spans="1:21" ht="27" thickBot="1">
      <c r="A11" s="4"/>
      <c r="B11" s="4"/>
      <c r="C11" s="46" t="s">
        <v>14</v>
      </c>
      <c r="D11" s="47" t="s">
        <v>146</v>
      </c>
      <c r="E11" s="6" t="s">
        <v>147</v>
      </c>
      <c r="F11" s="49" t="s">
        <v>148</v>
      </c>
      <c r="G11" s="2" t="s">
        <v>88</v>
      </c>
      <c r="H11" s="21">
        <v>159000</v>
      </c>
      <c r="I11" s="2" t="s">
        <v>90</v>
      </c>
      <c r="J11" s="41">
        <v>106000</v>
      </c>
      <c r="K11" s="21">
        <f t="shared" si="0"/>
        <v>116600.00000000001</v>
      </c>
      <c r="L11" s="52">
        <v>4712766</v>
      </c>
      <c r="N11" t="s">
        <v>14</v>
      </c>
      <c r="O11">
        <v>111000</v>
      </c>
      <c r="P11">
        <v>5550</v>
      </c>
      <c r="Q11">
        <v>0</v>
      </c>
      <c r="R11">
        <f t="shared" si="2"/>
        <v>122100.00000000001</v>
      </c>
      <c r="S11">
        <f t="shared" si="1"/>
        <v>6105.0000000000009</v>
      </c>
      <c r="U11">
        <f t="shared" si="3"/>
        <v>115995.00000000001</v>
      </c>
    </row>
    <row r="12" spans="1:21" ht="19.8" thickBot="1">
      <c r="A12" s="4"/>
      <c r="B12" s="36"/>
      <c r="C12" s="29" t="s">
        <v>69</v>
      </c>
      <c r="D12" s="47" t="s">
        <v>149</v>
      </c>
      <c r="E12" s="6" t="s">
        <v>151</v>
      </c>
      <c r="F12" s="49"/>
      <c r="G12" s="2" t="s">
        <v>93</v>
      </c>
      <c r="H12" s="21">
        <v>110000</v>
      </c>
      <c r="I12" s="2" t="s">
        <v>82</v>
      </c>
      <c r="J12" s="41">
        <v>73000</v>
      </c>
      <c r="K12" s="21">
        <f t="shared" si="0"/>
        <v>80300</v>
      </c>
      <c r="L12" s="52">
        <v>3656340</v>
      </c>
      <c r="N12" t="s">
        <v>200</v>
      </c>
      <c r="O12">
        <v>86000</v>
      </c>
      <c r="P12">
        <v>4300</v>
      </c>
      <c r="Q12">
        <v>0</v>
      </c>
      <c r="R12">
        <f t="shared" si="2"/>
        <v>94600.000000000015</v>
      </c>
      <c r="S12">
        <f t="shared" si="1"/>
        <v>4730</v>
      </c>
      <c r="U12">
        <f t="shared" si="3"/>
        <v>89870.000000000015</v>
      </c>
    </row>
    <row r="13" spans="1:21" ht="19.8" thickBot="1">
      <c r="A13" s="4"/>
      <c r="B13" s="34"/>
      <c r="C13" s="29" t="s">
        <v>23</v>
      </c>
      <c r="D13" s="47" t="s">
        <v>149</v>
      </c>
      <c r="E13" s="6" t="s">
        <v>165</v>
      </c>
      <c r="F13" s="49" t="s">
        <v>145</v>
      </c>
      <c r="G13" s="2" t="s">
        <v>103</v>
      </c>
      <c r="H13" s="21">
        <v>99000</v>
      </c>
      <c r="I13" s="2" t="s">
        <v>80</v>
      </c>
      <c r="J13" s="41">
        <v>66000</v>
      </c>
      <c r="K13" s="21">
        <f t="shared" si="0"/>
        <v>72600</v>
      </c>
      <c r="L13" s="52">
        <v>3282269</v>
      </c>
      <c r="N13" t="s">
        <v>23</v>
      </c>
      <c r="O13">
        <v>89000</v>
      </c>
      <c r="P13">
        <v>4450</v>
      </c>
      <c r="Q13">
        <v>0</v>
      </c>
      <c r="R13">
        <f t="shared" si="2"/>
        <v>97900.000000000015</v>
      </c>
      <c r="S13">
        <f t="shared" si="1"/>
        <v>4895</v>
      </c>
      <c r="U13">
        <f t="shared" si="3"/>
        <v>93005.000000000015</v>
      </c>
    </row>
    <row r="14" spans="1:21" ht="40.799999999999997" thickBot="1">
      <c r="A14" s="4"/>
      <c r="B14" s="34"/>
      <c r="C14" s="29" t="s">
        <v>16</v>
      </c>
      <c r="D14" s="47" t="s">
        <v>149</v>
      </c>
      <c r="E14" s="6" t="s">
        <v>152</v>
      </c>
      <c r="F14" s="49" t="s">
        <v>153</v>
      </c>
      <c r="G14" s="2" t="s">
        <v>94</v>
      </c>
      <c r="H14" s="21">
        <v>157000</v>
      </c>
      <c r="I14" s="2" t="s">
        <v>91</v>
      </c>
      <c r="J14" s="41">
        <v>156500</v>
      </c>
      <c r="K14" s="21">
        <f t="shared" si="0"/>
        <v>172150</v>
      </c>
      <c r="L14" s="55">
        <v>4723478</v>
      </c>
      <c r="N14" t="s">
        <v>16</v>
      </c>
      <c r="O14">
        <v>153000</v>
      </c>
      <c r="P14">
        <v>7650</v>
      </c>
      <c r="Q14">
        <v>0</v>
      </c>
      <c r="R14">
        <f t="shared" si="2"/>
        <v>168300</v>
      </c>
      <c r="S14">
        <f t="shared" si="1"/>
        <v>8415</v>
      </c>
      <c r="U14">
        <f t="shared" si="3"/>
        <v>159885</v>
      </c>
    </row>
    <row r="15" spans="1:21" ht="27" thickBot="1">
      <c r="A15" s="4"/>
      <c r="B15" s="34"/>
      <c r="C15" s="29" t="s">
        <v>17</v>
      </c>
      <c r="D15" s="47" t="s">
        <v>149</v>
      </c>
      <c r="E15" s="6" t="s">
        <v>154</v>
      </c>
      <c r="F15" s="49" t="s">
        <v>145</v>
      </c>
      <c r="G15" s="2" t="s">
        <v>95</v>
      </c>
      <c r="H15" s="21">
        <v>210000</v>
      </c>
      <c r="I15" s="2" t="s">
        <v>80</v>
      </c>
      <c r="J15" s="56">
        <v>140000</v>
      </c>
      <c r="K15" s="21">
        <f t="shared" si="0"/>
        <v>154000</v>
      </c>
      <c r="L15" s="54">
        <v>3964947</v>
      </c>
      <c r="N15" t="s">
        <v>17</v>
      </c>
      <c r="O15">
        <v>122000</v>
      </c>
      <c r="P15">
        <v>6100</v>
      </c>
      <c r="Q15">
        <v>0</v>
      </c>
      <c r="R15">
        <f t="shared" si="2"/>
        <v>134200</v>
      </c>
      <c r="S15">
        <f t="shared" si="1"/>
        <v>6710.0000000000009</v>
      </c>
      <c r="U15">
        <f t="shared" si="3"/>
        <v>127490</v>
      </c>
    </row>
    <row r="16" spans="1:21" ht="19.8" thickBot="1">
      <c r="A16" s="4"/>
      <c r="B16" s="34"/>
      <c r="C16" s="29" t="s">
        <v>18</v>
      </c>
      <c r="D16" s="47" t="s">
        <v>149</v>
      </c>
      <c r="E16" s="6" t="s">
        <v>155</v>
      </c>
      <c r="F16" s="49" t="s">
        <v>156</v>
      </c>
      <c r="G16" s="2" t="s">
        <v>96</v>
      </c>
      <c r="H16" s="21">
        <v>130000</v>
      </c>
      <c r="I16" s="2" t="s">
        <v>91</v>
      </c>
      <c r="J16" s="56">
        <v>120000</v>
      </c>
      <c r="K16" s="21">
        <f t="shared" si="0"/>
        <v>132000</v>
      </c>
      <c r="L16" s="52">
        <v>3970617</v>
      </c>
      <c r="N16" t="s">
        <v>18</v>
      </c>
      <c r="O16">
        <v>80000</v>
      </c>
      <c r="P16">
        <v>4000</v>
      </c>
      <c r="Q16">
        <v>0</v>
      </c>
      <c r="R16">
        <f t="shared" si="2"/>
        <v>88000</v>
      </c>
      <c r="S16">
        <f t="shared" si="1"/>
        <v>4400</v>
      </c>
      <c r="U16">
        <f t="shared" si="3"/>
        <v>83600</v>
      </c>
    </row>
    <row r="17" spans="1:21" ht="27" thickBot="1">
      <c r="A17" s="4"/>
      <c r="B17" s="34"/>
      <c r="C17" s="29" t="s">
        <v>98</v>
      </c>
      <c r="D17" s="47" t="s">
        <v>149</v>
      </c>
      <c r="E17" s="6" t="s">
        <v>157</v>
      </c>
      <c r="F17" s="49" t="s">
        <v>158</v>
      </c>
      <c r="G17" s="2" t="s">
        <v>83</v>
      </c>
      <c r="H17" s="21">
        <v>110000</v>
      </c>
      <c r="I17" s="2" t="s">
        <v>99</v>
      </c>
      <c r="J17" s="41">
        <v>73000</v>
      </c>
      <c r="K17" s="21">
        <f t="shared" si="0"/>
        <v>80300</v>
      </c>
      <c r="L17" s="52">
        <v>4752188</v>
      </c>
      <c r="N17" t="s">
        <v>201</v>
      </c>
      <c r="O17">
        <v>88000</v>
      </c>
      <c r="P17">
        <v>4400</v>
      </c>
      <c r="Q17">
        <v>0</v>
      </c>
      <c r="R17">
        <f t="shared" si="2"/>
        <v>96800.000000000015</v>
      </c>
      <c r="S17">
        <f t="shared" si="1"/>
        <v>4840</v>
      </c>
      <c r="U17">
        <f t="shared" si="3"/>
        <v>91960.000000000015</v>
      </c>
    </row>
    <row r="18" spans="1:21" ht="19.8" thickBot="1">
      <c r="A18" s="4"/>
      <c r="B18" s="37"/>
      <c r="C18" s="29" t="s">
        <v>19</v>
      </c>
      <c r="D18" s="47" t="s">
        <v>149</v>
      </c>
      <c r="E18" s="6" t="s">
        <v>159</v>
      </c>
      <c r="F18" s="49" t="s">
        <v>160</v>
      </c>
      <c r="G18" s="2" t="s">
        <v>83</v>
      </c>
      <c r="H18" s="21">
        <v>92000</v>
      </c>
      <c r="I18" s="2" t="s">
        <v>80</v>
      </c>
      <c r="J18" s="41">
        <v>61000</v>
      </c>
      <c r="K18" s="21">
        <f t="shared" si="0"/>
        <v>67100</v>
      </c>
      <c r="L18" s="52">
        <v>3282224</v>
      </c>
      <c r="N18" t="s">
        <v>19</v>
      </c>
      <c r="O18">
        <v>92000</v>
      </c>
      <c r="P18">
        <v>4600</v>
      </c>
      <c r="Q18">
        <v>0</v>
      </c>
      <c r="R18">
        <f t="shared" si="2"/>
        <v>101200.00000000001</v>
      </c>
      <c r="S18">
        <f t="shared" si="1"/>
        <v>5060</v>
      </c>
      <c r="U18">
        <f t="shared" si="3"/>
        <v>96140.000000000015</v>
      </c>
    </row>
    <row r="19" spans="1:21" ht="27" thickBot="1">
      <c r="A19" s="4"/>
      <c r="B19" s="4"/>
      <c r="C19" s="29" t="s">
        <v>20</v>
      </c>
      <c r="D19" s="47" t="s">
        <v>149</v>
      </c>
      <c r="E19" s="6" t="s">
        <v>161</v>
      </c>
      <c r="F19" s="49" t="s">
        <v>145</v>
      </c>
      <c r="G19" s="2" t="s">
        <v>83</v>
      </c>
      <c r="H19" s="21">
        <v>130000</v>
      </c>
      <c r="I19" s="2" t="s">
        <v>82</v>
      </c>
      <c r="J19" s="41">
        <v>84500</v>
      </c>
      <c r="K19" s="21">
        <f t="shared" si="0"/>
        <v>92950.000000000015</v>
      </c>
      <c r="L19" s="52">
        <v>3656046</v>
      </c>
      <c r="N19" t="s">
        <v>20</v>
      </c>
      <c r="O19">
        <v>92000</v>
      </c>
      <c r="P19">
        <v>4600</v>
      </c>
      <c r="Q19">
        <v>0</v>
      </c>
      <c r="R19">
        <f t="shared" si="2"/>
        <v>101200.00000000001</v>
      </c>
      <c r="S19">
        <f t="shared" si="1"/>
        <v>5060</v>
      </c>
      <c r="U19">
        <f t="shared" si="3"/>
        <v>96140.000000000015</v>
      </c>
    </row>
    <row r="20" spans="1:21" ht="27" thickBot="1">
      <c r="A20" s="4"/>
      <c r="B20" s="4"/>
      <c r="C20" s="29" t="s">
        <v>21</v>
      </c>
      <c r="D20" s="5" t="s">
        <v>149</v>
      </c>
      <c r="E20" s="6" t="s">
        <v>162</v>
      </c>
      <c r="F20" s="49"/>
      <c r="G20" s="2" t="s">
        <v>100</v>
      </c>
      <c r="H20" s="21">
        <v>90000</v>
      </c>
      <c r="I20" s="2" t="s">
        <v>101</v>
      </c>
      <c r="J20" s="41">
        <v>60000</v>
      </c>
      <c r="K20" s="21">
        <v>66000</v>
      </c>
      <c r="L20" s="52">
        <v>3656215</v>
      </c>
      <c r="N20" t="s">
        <v>21</v>
      </c>
      <c r="O20">
        <v>64000</v>
      </c>
      <c r="P20">
        <v>3200</v>
      </c>
      <c r="Q20">
        <v>0</v>
      </c>
      <c r="R20">
        <f t="shared" si="2"/>
        <v>70400</v>
      </c>
      <c r="S20">
        <f t="shared" si="1"/>
        <v>3520.0000000000005</v>
      </c>
      <c r="U20">
        <f t="shared" si="3"/>
        <v>66880</v>
      </c>
    </row>
    <row r="21" spans="1:21" ht="27" thickBot="1">
      <c r="A21" s="4"/>
      <c r="B21" s="34"/>
      <c r="C21" s="29" t="s">
        <v>22</v>
      </c>
      <c r="D21" s="47" t="s">
        <v>149</v>
      </c>
      <c r="E21" s="6" t="s">
        <v>163</v>
      </c>
      <c r="F21" s="49" t="s">
        <v>164</v>
      </c>
      <c r="G21" s="2" t="s">
        <v>102</v>
      </c>
      <c r="H21" s="21">
        <v>102000</v>
      </c>
      <c r="I21" s="2" t="s">
        <v>80</v>
      </c>
      <c r="J21" s="41">
        <v>68000</v>
      </c>
      <c r="K21" s="21">
        <f t="shared" ref="K21:K42" si="4">J21*1.1</f>
        <v>74800</v>
      </c>
      <c r="L21" s="52">
        <v>4522050</v>
      </c>
      <c r="N21" t="s">
        <v>22</v>
      </c>
      <c r="O21">
        <v>62000</v>
      </c>
      <c r="P21">
        <v>3100</v>
      </c>
      <c r="Q21">
        <v>0</v>
      </c>
      <c r="R21">
        <f t="shared" si="2"/>
        <v>68200</v>
      </c>
      <c r="S21">
        <f t="shared" si="1"/>
        <v>3410.0000000000005</v>
      </c>
      <c r="U21">
        <f t="shared" si="3"/>
        <v>64790</v>
      </c>
    </row>
    <row r="22" spans="1:21" ht="40.200000000000003" thickBot="1">
      <c r="A22" s="4"/>
      <c r="B22" s="4"/>
      <c r="C22" s="29" t="s">
        <v>70</v>
      </c>
      <c r="D22" s="47" t="s">
        <v>149</v>
      </c>
      <c r="E22" s="6" t="s">
        <v>150</v>
      </c>
      <c r="F22" s="49"/>
      <c r="G22" s="2" t="s">
        <v>104</v>
      </c>
      <c r="H22" s="21">
        <v>220000</v>
      </c>
      <c r="I22" s="2" t="s">
        <v>105</v>
      </c>
      <c r="J22" s="41">
        <v>156000</v>
      </c>
      <c r="K22" s="21">
        <f t="shared" si="4"/>
        <v>171600</v>
      </c>
      <c r="L22" s="52">
        <v>3971689</v>
      </c>
      <c r="N22" t="s">
        <v>202</v>
      </c>
      <c r="O22">
        <v>0</v>
      </c>
      <c r="P22">
        <v>0</v>
      </c>
      <c r="Q22">
        <v>0</v>
      </c>
      <c r="R22">
        <v>0</v>
      </c>
      <c r="S22">
        <f t="shared" si="1"/>
        <v>0</v>
      </c>
      <c r="U22">
        <f t="shared" si="3"/>
        <v>0</v>
      </c>
    </row>
    <row r="23" spans="1:21" ht="19.8" thickBot="1">
      <c r="A23" s="4"/>
      <c r="B23" s="4"/>
      <c r="C23" s="29" t="s">
        <v>34</v>
      </c>
      <c r="D23" s="47" t="s">
        <v>149</v>
      </c>
      <c r="E23" s="6" t="s">
        <v>174</v>
      </c>
      <c r="F23" s="49"/>
      <c r="G23" s="2" t="s">
        <v>97</v>
      </c>
      <c r="H23" s="21">
        <v>17000</v>
      </c>
      <c r="I23" s="2" t="s">
        <v>80</v>
      </c>
      <c r="J23" s="41">
        <v>11000</v>
      </c>
      <c r="K23" s="21">
        <f t="shared" si="4"/>
        <v>12100.000000000002</v>
      </c>
      <c r="L23" s="54">
        <v>2264459</v>
      </c>
      <c r="N23" t="s">
        <v>34</v>
      </c>
      <c r="O23">
        <v>12000</v>
      </c>
      <c r="P23">
        <v>1000</v>
      </c>
      <c r="Q23">
        <v>0</v>
      </c>
      <c r="R23">
        <f t="shared" si="2"/>
        <v>13200.000000000002</v>
      </c>
      <c r="S23">
        <f t="shared" si="1"/>
        <v>1100</v>
      </c>
      <c r="U23">
        <f t="shared" si="3"/>
        <v>12100.000000000002</v>
      </c>
    </row>
    <row r="24" spans="1:21" ht="19.8" thickBot="1">
      <c r="A24" s="4"/>
      <c r="B24" s="4"/>
      <c r="C24" s="29" t="s">
        <v>27</v>
      </c>
      <c r="D24" s="47" t="s">
        <v>149</v>
      </c>
      <c r="E24" s="6" t="s">
        <v>166</v>
      </c>
      <c r="F24" s="49"/>
      <c r="G24" s="2" t="s">
        <v>106</v>
      </c>
      <c r="H24" s="21">
        <v>143000</v>
      </c>
      <c r="I24" s="2" t="s">
        <v>80</v>
      </c>
      <c r="J24" s="41">
        <v>95000</v>
      </c>
      <c r="K24" s="21">
        <f t="shared" si="4"/>
        <v>104500.00000000001</v>
      </c>
      <c r="L24" s="52">
        <v>1399453</v>
      </c>
      <c r="N24" t="s">
        <v>27</v>
      </c>
      <c r="O24">
        <v>78000</v>
      </c>
      <c r="P24">
        <v>3900</v>
      </c>
      <c r="Q24">
        <v>0</v>
      </c>
      <c r="R24">
        <f t="shared" si="2"/>
        <v>85800</v>
      </c>
      <c r="S24">
        <f t="shared" si="1"/>
        <v>4290</v>
      </c>
      <c r="U24">
        <f t="shared" si="3"/>
        <v>81510</v>
      </c>
    </row>
    <row r="25" spans="1:21" ht="19.8" thickBot="1">
      <c r="A25" s="4"/>
      <c r="B25" s="4"/>
      <c r="C25" s="29" t="s">
        <v>28</v>
      </c>
      <c r="D25" s="47" t="s">
        <v>149</v>
      </c>
      <c r="E25" s="6" t="s">
        <v>167</v>
      </c>
      <c r="F25" s="49"/>
      <c r="G25" s="2" t="s">
        <v>107</v>
      </c>
      <c r="H25" s="21">
        <v>141000</v>
      </c>
      <c r="I25" s="2" t="s">
        <v>80</v>
      </c>
      <c r="J25" s="41">
        <v>94000</v>
      </c>
      <c r="K25" s="21">
        <f t="shared" si="4"/>
        <v>103400.00000000001</v>
      </c>
      <c r="L25" s="52">
        <v>4471686</v>
      </c>
      <c r="N25" t="s">
        <v>28</v>
      </c>
      <c r="O25">
        <v>76000</v>
      </c>
      <c r="P25">
        <v>3800</v>
      </c>
      <c r="Q25">
        <v>0</v>
      </c>
      <c r="R25">
        <f t="shared" si="2"/>
        <v>83600</v>
      </c>
      <c r="S25">
        <f t="shared" si="1"/>
        <v>4180</v>
      </c>
      <c r="U25">
        <f t="shared" si="3"/>
        <v>79420</v>
      </c>
    </row>
    <row r="26" spans="1:21" ht="19.8" thickBot="1">
      <c r="A26" s="4"/>
      <c r="B26" s="4"/>
      <c r="C26" s="29" t="s">
        <v>29</v>
      </c>
      <c r="D26" s="47" t="s">
        <v>149</v>
      </c>
      <c r="E26" s="6" t="s">
        <v>168</v>
      </c>
      <c r="F26" s="49"/>
      <c r="G26" s="2" t="s">
        <v>102</v>
      </c>
      <c r="H26" s="16">
        <v>75000</v>
      </c>
      <c r="I26" s="2" t="s">
        <v>80</v>
      </c>
      <c r="J26" s="41">
        <v>50000</v>
      </c>
      <c r="K26" s="21">
        <f t="shared" si="4"/>
        <v>55000.000000000007</v>
      </c>
      <c r="L26" s="52">
        <v>4473432</v>
      </c>
      <c r="N26" t="s">
        <v>29</v>
      </c>
      <c r="O26">
        <v>53000</v>
      </c>
      <c r="P26">
        <v>2650</v>
      </c>
      <c r="Q26">
        <v>0</v>
      </c>
      <c r="R26">
        <f t="shared" si="2"/>
        <v>58300.000000000007</v>
      </c>
      <c r="S26">
        <f t="shared" si="1"/>
        <v>2915.0000000000005</v>
      </c>
      <c r="U26">
        <f t="shared" si="3"/>
        <v>55385.000000000007</v>
      </c>
    </row>
    <row r="27" spans="1:21" ht="19.8" thickBot="1">
      <c r="A27" s="4"/>
      <c r="B27" s="4"/>
      <c r="C27" s="29" t="s">
        <v>76</v>
      </c>
      <c r="D27" s="47" t="s">
        <v>149</v>
      </c>
      <c r="E27" s="6" t="s">
        <v>169</v>
      </c>
      <c r="F27" s="49"/>
      <c r="G27" s="2" t="s">
        <v>108</v>
      </c>
      <c r="H27" s="16">
        <v>63000</v>
      </c>
      <c r="I27" s="2" t="s">
        <v>80</v>
      </c>
      <c r="J27" s="41">
        <v>41500</v>
      </c>
      <c r="K27" s="21">
        <f t="shared" si="4"/>
        <v>45650.000000000007</v>
      </c>
      <c r="L27" s="52">
        <v>2551059</v>
      </c>
      <c r="M27" s="2"/>
      <c r="N27" t="s">
        <v>203</v>
      </c>
      <c r="O27">
        <v>43000</v>
      </c>
      <c r="P27">
        <v>2150</v>
      </c>
      <c r="Q27">
        <v>0</v>
      </c>
      <c r="R27">
        <f t="shared" si="2"/>
        <v>47300.000000000007</v>
      </c>
      <c r="S27">
        <f t="shared" si="1"/>
        <v>2365</v>
      </c>
      <c r="U27">
        <f t="shared" si="3"/>
        <v>44935.000000000007</v>
      </c>
    </row>
    <row r="28" spans="1:21" ht="19.8" thickBot="1">
      <c r="A28" s="4"/>
      <c r="B28" s="4"/>
      <c r="C28" s="29" t="s">
        <v>30</v>
      </c>
      <c r="D28" s="5" t="s">
        <v>149</v>
      </c>
      <c r="E28" s="6" t="s">
        <v>170</v>
      </c>
      <c r="F28" s="49" t="s">
        <v>171</v>
      </c>
      <c r="G28" s="2" t="s">
        <v>109</v>
      </c>
      <c r="H28" s="16">
        <v>54000</v>
      </c>
      <c r="I28" s="2" t="s">
        <v>110</v>
      </c>
      <c r="J28" s="41">
        <v>36000</v>
      </c>
      <c r="K28" s="21">
        <f t="shared" si="4"/>
        <v>39600</v>
      </c>
      <c r="L28" s="52">
        <v>3967425</v>
      </c>
      <c r="N28" t="s">
        <v>30</v>
      </c>
      <c r="O28">
        <v>54000</v>
      </c>
      <c r="P28">
        <v>2700</v>
      </c>
      <c r="Q28">
        <v>0</v>
      </c>
      <c r="R28">
        <f t="shared" si="2"/>
        <v>59400.000000000007</v>
      </c>
      <c r="S28">
        <f t="shared" si="1"/>
        <v>2970.0000000000005</v>
      </c>
      <c r="U28">
        <f t="shared" si="3"/>
        <v>56430.000000000007</v>
      </c>
    </row>
    <row r="29" spans="1:21" ht="19.8" thickBot="1">
      <c r="A29" s="4"/>
      <c r="B29" s="4"/>
      <c r="C29" s="29" t="s">
        <v>31</v>
      </c>
      <c r="D29" s="5" t="s">
        <v>149</v>
      </c>
      <c r="E29" s="6" t="s">
        <v>172</v>
      </c>
      <c r="F29" s="49"/>
      <c r="G29" s="2" t="s">
        <v>111</v>
      </c>
      <c r="H29" s="16">
        <v>42000</v>
      </c>
      <c r="I29" s="2" t="s">
        <v>80</v>
      </c>
      <c r="J29" s="41">
        <v>28000</v>
      </c>
      <c r="K29" s="21">
        <f t="shared" si="4"/>
        <v>30800.000000000004</v>
      </c>
      <c r="L29" s="52">
        <v>1849102</v>
      </c>
      <c r="N29" t="s">
        <v>31</v>
      </c>
      <c r="O29">
        <v>37000</v>
      </c>
      <c r="P29">
        <v>1850</v>
      </c>
      <c r="Q29">
        <v>0</v>
      </c>
      <c r="R29">
        <f t="shared" si="2"/>
        <v>40700</v>
      </c>
      <c r="S29">
        <f t="shared" si="1"/>
        <v>2035.0000000000002</v>
      </c>
      <c r="U29">
        <f t="shared" si="3"/>
        <v>38665</v>
      </c>
    </row>
    <row r="30" spans="1:21" ht="19.8" thickBot="1">
      <c r="A30" s="4"/>
      <c r="B30" s="4"/>
      <c r="C30" s="29" t="s">
        <v>32</v>
      </c>
      <c r="D30" s="5" t="s">
        <v>149</v>
      </c>
      <c r="E30" s="6" t="s">
        <v>172</v>
      </c>
      <c r="F30" s="49"/>
      <c r="G30" s="2" t="s">
        <v>112</v>
      </c>
      <c r="H30" s="16">
        <v>43000</v>
      </c>
      <c r="I30" s="2" t="s">
        <v>80</v>
      </c>
      <c r="J30" s="41">
        <v>43000</v>
      </c>
      <c r="K30" s="21">
        <f t="shared" si="4"/>
        <v>47300.000000000007</v>
      </c>
      <c r="L30" s="52">
        <v>3969281</v>
      </c>
      <c r="N30" t="s">
        <v>32</v>
      </c>
      <c r="O30">
        <v>37000</v>
      </c>
      <c r="P30">
        <v>1850</v>
      </c>
      <c r="Q30">
        <v>0</v>
      </c>
      <c r="R30">
        <f t="shared" si="2"/>
        <v>40700</v>
      </c>
      <c r="S30">
        <f t="shared" si="1"/>
        <v>2035.0000000000002</v>
      </c>
      <c r="U30">
        <f t="shared" si="3"/>
        <v>38665</v>
      </c>
    </row>
    <row r="31" spans="1:21" ht="27" thickBot="1">
      <c r="A31" s="4"/>
      <c r="B31" s="4"/>
      <c r="C31" s="29" t="s">
        <v>33</v>
      </c>
      <c r="D31" s="5" t="s">
        <v>149</v>
      </c>
      <c r="E31" s="6" t="s">
        <v>173</v>
      </c>
      <c r="F31" s="49"/>
      <c r="G31" s="2" t="s">
        <v>113</v>
      </c>
      <c r="H31" s="16">
        <v>90000</v>
      </c>
      <c r="I31" s="2" t="s">
        <v>80</v>
      </c>
      <c r="J31" s="41">
        <v>60000</v>
      </c>
      <c r="K31" s="21">
        <f t="shared" si="4"/>
        <v>66000</v>
      </c>
      <c r="L31" s="52">
        <v>2551448</v>
      </c>
      <c r="N31" t="s">
        <v>33</v>
      </c>
      <c r="O31">
        <v>56000</v>
      </c>
      <c r="P31">
        <v>2800</v>
      </c>
      <c r="Q31">
        <v>0</v>
      </c>
      <c r="R31">
        <f t="shared" si="2"/>
        <v>61600.000000000007</v>
      </c>
      <c r="S31">
        <f t="shared" si="1"/>
        <v>3080.0000000000005</v>
      </c>
      <c r="U31">
        <f t="shared" si="3"/>
        <v>58520.000000000007</v>
      </c>
    </row>
    <row r="32" spans="1:21" ht="27" thickBot="1">
      <c r="A32" s="4"/>
      <c r="B32" s="4"/>
      <c r="C32" s="29" t="s">
        <v>71</v>
      </c>
      <c r="D32" s="5" t="s">
        <v>175</v>
      </c>
      <c r="E32" s="6" t="s">
        <v>176</v>
      </c>
      <c r="F32" s="49"/>
      <c r="G32" s="2" t="s">
        <v>83</v>
      </c>
      <c r="H32" s="16">
        <v>68000</v>
      </c>
      <c r="I32" s="2" t="s">
        <v>80</v>
      </c>
      <c r="J32" s="41">
        <v>45000</v>
      </c>
      <c r="K32" s="21">
        <f t="shared" si="4"/>
        <v>49500.000000000007</v>
      </c>
      <c r="L32" s="52">
        <v>3282267</v>
      </c>
      <c r="N32" t="s">
        <v>204</v>
      </c>
      <c r="O32">
        <v>47000</v>
      </c>
      <c r="P32">
        <v>2350</v>
      </c>
      <c r="Q32">
        <v>0</v>
      </c>
      <c r="R32">
        <f t="shared" si="2"/>
        <v>51700.000000000007</v>
      </c>
      <c r="S32">
        <f t="shared" si="1"/>
        <v>2585</v>
      </c>
      <c r="U32">
        <f t="shared" si="3"/>
        <v>49115.000000000007</v>
      </c>
    </row>
    <row r="33" spans="1:21" ht="19.8" thickBot="1">
      <c r="A33" s="4"/>
      <c r="B33" s="4"/>
      <c r="C33" s="29" t="s">
        <v>43</v>
      </c>
      <c r="D33" s="5" t="s">
        <v>184</v>
      </c>
      <c r="E33" s="6" t="s">
        <v>185</v>
      </c>
      <c r="F33" s="13"/>
      <c r="G33" s="2" t="s">
        <v>123</v>
      </c>
      <c r="H33" s="16">
        <v>13000</v>
      </c>
      <c r="I33" s="2" t="s">
        <v>80</v>
      </c>
      <c r="J33" s="41">
        <v>8500</v>
      </c>
      <c r="K33" s="21">
        <f t="shared" si="4"/>
        <v>9350</v>
      </c>
      <c r="L33" s="33">
        <v>2271154</v>
      </c>
      <c r="N33" t="s">
        <v>43</v>
      </c>
      <c r="O33">
        <v>0</v>
      </c>
      <c r="P33">
        <v>0</v>
      </c>
      <c r="Q33">
        <v>0</v>
      </c>
      <c r="R33">
        <v>0</v>
      </c>
      <c r="S33">
        <f t="shared" si="1"/>
        <v>0</v>
      </c>
      <c r="U33">
        <f t="shared" si="3"/>
        <v>0</v>
      </c>
    </row>
    <row r="34" spans="1:21" ht="19.8" thickBot="1">
      <c r="A34" s="4"/>
      <c r="B34" s="4"/>
      <c r="C34" s="29" t="s">
        <v>35</v>
      </c>
      <c r="D34" s="5" t="s">
        <v>175</v>
      </c>
      <c r="E34" s="6" t="s">
        <v>177</v>
      </c>
      <c r="F34" s="13"/>
      <c r="G34" s="2" t="s">
        <v>114</v>
      </c>
      <c r="H34" s="16">
        <v>53000</v>
      </c>
      <c r="I34" s="2" t="s">
        <v>80</v>
      </c>
      <c r="J34" s="41">
        <v>35000</v>
      </c>
      <c r="K34" s="21">
        <f t="shared" si="4"/>
        <v>38500</v>
      </c>
      <c r="L34" s="33">
        <v>4478881</v>
      </c>
      <c r="N34" t="s">
        <v>35</v>
      </c>
      <c r="O34">
        <v>59000</v>
      </c>
      <c r="P34">
        <v>2950</v>
      </c>
      <c r="Q34">
        <v>0</v>
      </c>
      <c r="R34">
        <f t="shared" si="2"/>
        <v>64900.000000000007</v>
      </c>
      <c r="S34">
        <f t="shared" si="1"/>
        <v>3245.0000000000005</v>
      </c>
      <c r="U34">
        <f t="shared" si="3"/>
        <v>61655.000000000007</v>
      </c>
    </row>
    <row r="35" spans="1:21" ht="19.8" thickBot="1">
      <c r="A35" s="4"/>
      <c r="B35" s="4"/>
      <c r="C35" s="29" t="s">
        <v>36</v>
      </c>
      <c r="D35" s="5" t="s">
        <v>149</v>
      </c>
      <c r="E35" s="6" t="s">
        <v>178</v>
      </c>
      <c r="F35" s="49"/>
      <c r="G35" s="2" t="s">
        <v>115</v>
      </c>
      <c r="H35" s="16">
        <v>21000</v>
      </c>
      <c r="I35" s="2" t="s">
        <v>77</v>
      </c>
      <c r="J35" s="41">
        <v>14000</v>
      </c>
      <c r="K35" s="21">
        <f t="shared" si="4"/>
        <v>15400.000000000002</v>
      </c>
      <c r="L35" s="52">
        <v>2551807</v>
      </c>
      <c r="N35" t="s">
        <v>36</v>
      </c>
      <c r="O35">
        <v>12000</v>
      </c>
      <c r="P35">
        <v>1000</v>
      </c>
      <c r="Q35">
        <v>0</v>
      </c>
      <c r="R35">
        <f t="shared" si="2"/>
        <v>13200.000000000002</v>
      </c>
      <c r="S35">
        <f t="shared" si="1"/>
        <v>1100</v>
      </c>
      <c r="U35">
        <f t="shared" si="3"/>
        <v>12100.000000000002</v>
      </c>
    </row>
    <row r="36" spans="1:21" ht="27" thickBot="1">
      <c r="A36" s="4"/>
      <c r="B36" s="4"/>
      <c r="C36" s="29" t="s">
        <v>37</v>
      </c>
      <c r="D36" s="5" t="s">
        <v>179</v>
      </c>
      <c r="E36" s="6" t="s">
        <v>180</v>
      </c>
      <c r="F36" s="49"/>
      <c r="G36" s="2" t="s">
        <v>116</v>
      </c>
      <c r="H36" s="16">
        <v>9000</v>
      </c>
      <c r="I36" s="2" t="s">
        <v>77</v>
      </c>
      <c r="J36" s="41">
        <v>6000</v>
      </c>
      <c r="K36" s="21">
        <f t="shared" si="4"/>
        <v>6600.0000000000009</v>
      </c>
      <c r="L36" s="33">
        <v>3281098</v>
      </c>
      <c r="N36" t="s">
        <v>37</v>
      </c>
      <c r="O36">
        <v>3000</v>
      </c>
      <c r="P36">
        <v>1000</v>
      </c>
      <c r="Q36">
        <v>0</v>
      </c>
      <c r="R36">
        <f t="shared" si="2"/>
        <v>3300.0000000000005</v>
      </c>
      <c r="S36">
        <f t="shared" si="1"/>
        <v>1100</v>
      </c>
      <c r="U36">
        <f t="shared" si="3"/>
        <v>2200.0000000000005</v>
      </c>
    </row>
    <row r="37" spans="1:21" s="66" customFormat="1" ht="19.8" thickBot="1">
      <c r="A37" s="57"/>
      <c r="B37" s="57"/>
      <c r="C37" s="58" t="s">
        <v>38</v>
      </c>
      <c r="D37" s="59" t="s">
        <v>179</v>
      </c>
      <c r="E37" s="60" t="s">
        <v>181</v>
      </c>
      <c r="F37" s="61"/>
      <c r="G37" s="62" t="s">
        <v>117</v>
      </c>
      <c r="H37" s="63">
        <v>8000</v>
      </c>
      <c r="I37" s="62" t="s">
        <v>101</v>
      </c>
      <c r="J37" s="64">
        <v>5000</v>
      </c>
      <c r="K37" s="70">
        <f t="shared" si="4"/>
        <v>5500</v>
      </c>
      <c r="L37" s="65">
        <v>4051668</v>
      </c>
      <c r="N37" s="66" t="s">
        <v>38</v>
      </c>
      <c r="O37" s="66">
        <v>0</v>
      </c>
      <c r="P37" s="66">
        <v>0</v>
      </c>
      <c r="Q37" s="66">
        <v>0</v>
      </c>
      <c r="R37" s="66">
        <v>0</v>
      </c>
      <c r="S37">
        <f t="shared" si="1"/>
        <v>0</v>
      </c>
      <c r="U37">
        <f t="shared" si="3"/>
        <v>0</v>
      </c>
    </row>
    <row r="38" spans="1:21" ht="19.8" thickBot="1">
      <c r="A38" s="4"/>
      <c r="B38" s="4"/>
      <c r="C38" s="29" t="s">
        <v>39</v>
      </c>
      <c r="D38" s="5" t="s">
        <v>179</v>
      </c>
      <c r="E38" s="6" t="s">
        <v>181</v>
      </c>
      <c r="F38" s="49"/>
      <c r="G38" s="2" t="s">
        <v>118</v>
      </c>
      <c r="H38" s="16">
        <v>14000</v>
      </c>
      <c r="I38" s="2" t="s">
        <v>77</v>
      </c>
      <c r="J38" s="41">
        <v>9000</v>
      </c>
      <c r="K38" s="21">
        <f t="shared" si="4"/>
        <v>9900</v>
      </c>
      <c r="L38" s="33">
        <v>4477750</v>
      </c>
      <c r="N38" t="s">
        <v>39</v>
      </c>
      <c r="O38">
        <v>20000</v>
      </c>
      <c r="P38">
        <v>1000</v>
      </c>
      <c r="Q38">
        <v>0</v>
      </c>
      <c r="R38">
        <f t="shared" si="2"/>
        <v>22000</v>
      </c>
      <c r="S38">
        <f t="shared" si="1"/>
        <v>1100</v>
      </c>
      <c r="U38">
        <f t="shared" si="3"/>
        <v>20900</v>
      </c>
    </row>
    <row r="39" spans="1:21" ht="27" thickBot="1">
      <c r="A39" s="4"/>
      <c r="B39" s="4"/>
      <c r="C39" s="29" t="s">
        <v>40</v>
      </c>
      <c r="D39" s="5" t="s">
        <v>182</v>
      </c>
      <c r="E39" s="6" t="s">
        <v>183</v>
      </c>
      <c r="F39" s="49"/>
      <c r="G39" s="2" t="s">
        <v>119</v>
      </c>
      <c r="H39" s="16">
        <v>23000</v>
      </c>
      <c r="I39" s="2" t="s">
        <v>120</v>
      </c>
      <c r="J39" s="41">
        <v>15000</v>
      </c>
      <c r="K39" s="21">
        <f t="shared" si="4"/>
        <v>16500</v>
      </c>
      <c r="L39" s="33">
        <v>4478708</v>
      </c>
      <c r="N39" t="s">
        <v>40</v>
      </c>
      <c r="O39">
        <v>18000</v>
      </c>
      <c r="P39">
        <v>1000</v>
      </c>
      <c r="Q39">
        <v>0</v>
      </c>
      <c r="R39">
        <f t="shared" si="2"/>
        <v>19800</v>
      </c>
      <c r="S39">
        <f t="shared" si="1"/>
        <v>1100</v>
      </c>
      <c r="U39">
        <f t="shared" si="3"/>
        <v>18700</v>
      </c>
    </row>
    <row r="40" spans="1:21" ht="19.8" thickBot="1">
      <c r="A40" s="4"/>
      <c r="B40" s="4"/>
      <c r="C40" s="29" t="s">
        <v>41</v>
      </c>
      <c r="D40" s="5" t="s">
        <v>184</v>
      </c>
      <c r="E40" s="6" t="s">
        <v>185</v>
      </c>
      <c r="F40" s="49"/>
      <c r="G40" s="2" t="s">
        <v>121</v>
      </c>
      <c r="H40" s="16">
        <v>24000</v>
      </c>
      <c r="I40" s="2" t="s">
        <v>80</v>
      </c>
      <c r="J40" s="41">
        <v>16000</v>
      </c>
      <c r="K40" s="21">
        <f t="shared" si="4"/>
        <v>17600</v>
      </c>
      <c r="L40" s="33">
        <v>2271210</v>
      </c>
      <c r="N40" t="s">
        <v>41</v>
      </c>
      <c r="O40">
        <v>0</v>
      </c>
      <c r="P40">
        <v>0</v>
      </c>
      <c r="Q40">
        <v>0</v>
      </c>
      <c r="R40">
        <f t="shared" si="2"/>
        <v>0</v>
      </c>
      <c r="S40">
        <f t="shared" si="1"/>
        <v>0</v>
      </c>
      <c r="U40">
        <f t="shared" si="3"/>
        <v>0</v>
      </c>
    </row>
    <row r="41" spans="1:21" ht="19.8" thickBot="1">
      <c r="A41" s="4"/>
      <c r="B41" s="4"/>
      <c r="C41" s="29" t="s">
        <v>42</v>
      </c>
      <c r="D41" s="5" t="s">
        <v>184</v>
      </c>
      <c r="E41" s="6" t="s">
        <v>185</v>
      </c>
      <c r="F41" s="13"/>
      <c r="G41" s="2" t="s">
        <v>122</v>
      </c>
      <c r="H41" s="16">
        <v>12000</v>
      </c>
      <c r="I41" s="2" t="s">
        <v>80</v>
      </c>
      <c r="J41" s="41">
        <v>8000</v>
      </c>
      <c r="K41" s="21">
        <f t="shared" si="4"/>
        <v>8800</v>
      </c>
      <c r="L41" s="33">
        <v>2551929</v>
      </c>
      <c r="N41" t="s">
        <v>42</v>
      </c>
      <c r="O41">
        <v>18000</v>
      </c>
      <c r="P41">
        <v>1000</v>
      </c>
      <c r="Q41">
        <v>0</v>
      </c>
      <c r="R41">
        <f t="shared" si="2"/>
        <v>19800</v>
      </c>
      <c r="S41">
        <f t="shared" si="1"/>
        <v>1100</v>
      </c>
      <c r="U41">
        <f t="shared" si="3"/>
        <v>18700</v>
      </c>
    </row>
    <row r="42" spans="1:21" ht="19.8" thickBot="1">
      <c r="A42" s="4"/>
      <c r="B42" s="4"/>
      <c r="C42" s="30" t="s">
        <v>72</v>
      </c>
      <c r="D42" s="5" t="s">
        <v>186</v>
      </c>
      <c r="E42" s="7" t="s">
        <v>187</v>
      </c>
      <c r="F42" s="13"/>
      <c r="G42" s="2" t="s">
        <v>102</v>
      </c>
      <c r="H42" s="16">
        <v>9000</v>
      </c>
      <c r="I42" s="2" t="s">
        <v>80</v>
      </c>
      <c r="J42" s="41">
        <v>6000</v>
      </c>
      <c r="K42" s="21">
        <f t="shared" si="4"/>
        <v>6600.0000000000009</v>
      </c>
      <c r="L42" s="33">
        <v>2265019</v>
      </c>
      <c r="N42" t="s">
        <v>72</v>
      </c>
      <c r="O42">
        <v>0</v>
      </c>
      <c r="P42">
        <v>0</v>
      </c>
      <c r="Q42">
        <v>0</v>
      </c>
      <c r="R42">
        <f t="shared" si="2"/>
        <v>0</v>
      </c>
      <c r="S42">
        <f t="shared" si="1"/>
        <v>0</v>
      </c>
      <c r="U42">
        <f t="shared" si="3"/>
        <v>0</v>
      </c>
    </row>
    <row r="43" spans="1:21" ht="19.8" thickBot="1">
      <c r="A43" s="4"/>
      <c r="B43" s="4"/>
      <c r="C43" s="30" t="s">
        <v>52</v>
      </c>
      <c r="D43" s="5"/>
      <c r="E43" s="7"/>
      <c r="F43" s="13"/>
      <c r="G43" s="2"/>
      <c r="H43" s="16"/>
      <c r="I43" s="2"/>
      <c r="J43" s="41"/>
      <c r="K43" s="21"/>
      <c r="O43">
        <v>0</v>
      </c>
      <c r="P43">
        <v>0</v>
      </c>
      <c r="Q43">
        <v>0</v>
      </c>
      <c r="R43">
        <f t="shared" si="2"/>
        <v>0</v>
      </c>
      <c r="S43">
        <f t="shared" si="1"/>
        <v>0</v>
      </c>
      <c r="U43">
        <f t="shared" si="3"/>
        <v>0</v>
      </c>
    </row>
    <row r="44" spans="1:21" ht="19.8" thickBot="1">
      <c r="A44" s="4"/>
      <c r="B44" s="4"/>
      <c r="C44" s="30" t="s">
        <v>44</v>
      </c>
      <c r="D44" s="5" t="s">
        <v>188</v>
      </c>
      <c r="E44" s="4" t="s">
        <v>189</v>
      </c>
      <c r="F44" s="2"/>
      <c r="G44" s="2" t="s">
        <v>102</v>
      </c>
      <c r="H44" s="16">
        <v>8000</v>
      </c>
      <c r="I44" s="2" t="s">
        <v>80</v>
      </c>
      <c r="J44" s="41">
        <v>5000</v>
      </c>
      <c r="K44" s="21">
        <f t="shared" ref="K44:K50" si="5">J44*1.1</f>
        <v>5500</v>
      </c>
      <c r="L44" s="33">
        <v>2267888</v>
      </c>
      <c r="N44" t="s">
        <v>44</v>
      </c>
      <c r="O44">
        <v>77000</v>
      </c>
      <c r="P44">
        <v>3850</v>
      </c>
      <c r="Q44">
        <v>0</v>
      </c>
      <c r="R44">
        <f t="shared" si="2"/>
        <v>84700</v>
      </c>
      <c r="S44">
        <f t="shared" si="1"/>
        <v>4235</v>
      </c>
      <c r="U44">
        <f t="shared" si="3"/>
        <v>80465</v>
      </c>
    </row>
    <row r="45" spans="1:21" ht="19.8" thickBot="1">
      <c r="A45" s="4"/>
      <c r="B45" s="4"/>
      <c r="C45" s="30" t="s">
        <v>45</v>
      </c>
      <c r="D45" s="5" t="s">
        <v>133</v>
      </c>
      <c r="E45" s="7" t="s">
        <v>190</v>
      </c>
      <c r="F45" s="13" t="s">
        <v>191</v>
      </c>
      <c r="G45" s="2" t="s">
        <v>124</v>
      </c>
      <c r="H45" s="16">
        <v>78000</v>
      </c>
      <c r="I45" s="2" t="s">
        <v>91</v>
      </c>
      <c r="J45" s="41">
        <v>52000</v>
      </c>
      <c r="K45" s="21">
        <f t="shared" si="5"/>
        <v>57200.000000000007</v>
      </c>
      <c r="L45" s="33">
        <v>2506275</v>
      </c>
      <c r="N45" t="s">
        <v>45</v>
      </c>
      <c r="O45">
        <v>38000</v>
      </c>
      <c r="P45">
        <v>1900</v>
      </c>
      <c r="Q45">
        <v>0</v>
      </c>
      <c r="R45">
        <f t="shared" si="2"/>
        <v>41800</v>
      </c>
      <c r="S45">
        <f t="shared" si="1"/>
        <v>2090</v>
      </c>
      <c r="U45">
        <f t="shared" si="3"/>
        <v>39710</v>
      </c>
    </row>
    <row r="46" spans="1:21" ht="19.8" thickBot="1">
      <c r="A46" s="4"/>
      <c r="B46" s="4"/>
      <c r="C46" s="30" t="s">
        <v>46</v>
      </c>
      <c r="D46" s="5" t="s">
        <v>133</v>
      </c>
      <c r="E46" s="7" t="s">
        <v>192</v>
      </c>
      <c r="F46" s="13" t="s">
        <v>193</v>
      </c>
      <c r="G46" s="2" t="s">
        <v>125</v>
      </c>
      <c r="H46" s="16">
        <v>50000</v>
      </c>
      <c r="I46" s="2" t="s">
        <v>91</v>
      </c>
      <c r="J46" s="41">
        <v>33000</v>
      </c>
      <c r="K46" s="21">
        <f t="shared" si="5"/>
        <v>36300</v>
      </c>
      <c r="L46" s="33">
        <v>4718530</v>
      </c>
      <c r="N46" t="s">
        <v>46</v>
      </c>
      <c r="O46">
        <v>71000</v>
      </c>
      <c r="P46">
        <v>3550</v>
      </c>
      <c r="Q46">
        <v>0</v>
      </c>
      <c r="R46">
        <f t="shared" si="2"/>
        <v>78100</v>
      </c>
      <c r="S46">
        <f t="shared" si="1"/>
        <v>3905.0000000000005</v>
      </c>
      <c r="U46">
        <f t="shared" si="3"/>
        <v>74195</v>
      </c>
    </row>
    <row r="47" spans="1:21" ht="19.8" thickBot="1">
      <c r="A47" s="4"/>
      <c r="B47" s="4"/>
      <c r="C47" s="30" t="s">
        <v>47</v>
      </c>
      <c r="D47" s="5" t="s">
        <v>133</v>
      </c>
      <c r="E47" s="7" t="s">
        <v>194</v>
      </c>
      <c r="F47" s="13"/>
      <c r="G47" s="2" t="s">
        <v>126</v>
      </c>
      <c r="H47" s="16">
        <v>63000</v>
      </c>
      <c r="I47" s="2" t="s">
        <v>91</v>
      </c>
      <c r="J47" s="41">
        <v>42000</v>
      </c>
      <c r="K47" s="21">
        <f t="shared" si="5"/>
        <v>46200.000000000007</v>
      </c>
      <c r="L47" s="33">
        <v>3273518</v>
      </c>
      <c r="N47" t="s">
        <v>47</v>
      </c>
      <c r="O47">
        <v>40000</v>
      </c>
      <c r="P47">
        <v>2000</v>
      </c>
      <c r="Q47">
        <v>0</v>
      </c>
      <c r="R47">
        <f t="shared" si="2"/>
        <v>44000</v>
      </c>
      <c r="S47">
        <f t="shared" si="1"/>
        <v>2200</v>
      </c>
      <c r="U47">
        <f t="shared" si="3"/>
        <v>41800</v>
      </c>
    </row>
    <row r="48" spans="1:21" ht="19.8" thickBot="1">
      <c r="A48" s="4"/>
      <c r="B48" s="4"/>
      <c r="C48" s="30" t="s">
        <v>48</v>
      </c>
      <c r="D48" s="5" t="s">
        <v>133</v>
      </c>
      <c r="E48" s="7" t="s">
        <v>192</v>
      </c>
      <c r="F48" s="13" t="s">
        <v>193</v>
      </c>
      <c r="G48" s="2" t="s">
        <v>125</v>
      </c>
      <c r="H48" s="16">
        <v>48000</v>
      </c>
      <c r="I48" s="2" t="s">
        <v>120</v>
      </c>
      <c r="J48" s="41">
        <v>32000</v>
      </c>
      <c r="K48" s="21">
        <f t="shared" si="5"/>
        <v>35200</v>
      </c>
      <c r="L48" s="33">
        <v>1635169</v>
      </c>
      <c r="N48" t="s">
        <v>48</v>
      </c>
      <c r="O48">
        <v>11000</v>
      </c>
      <c r="P48">
        <v>1000</v>
      </c>
      <c r="Q48">
        <v>0</v>
      </c>
      <c r="R48">
        <f t="shared" si="2"/>
        <v>12100.000000000002</v>
      </c>
      <c r="S48">
        <f t="shared" si="1"/>
        <v>1100</v>
      </c>
      <c r="U48">
        <f t="shared" si="3"/>
        <v>11000.000000000002</v>
      </c>
    </row>
    <row r="49" spans="1:21" ht="19.8" thickBot="1">
      <c r="A49" s="4"/>
      <c r="B49" s="4"/>
      <c r="C49" s="30" t="s">
        <v>49</v>
      </c>
      <c r="D49" s="5" t="s">
        <v>195</v>
      </c>
      <c r="E49" s="7" t="s">
        <v>196</v>
      </c>
      <c r="F49" s="13"/>
      <c r="G49" s="2" t="s">
        <v>83</v>
      </c>
      <c r="H49" s="16">
        <v>14000</v>
      </c>
      <c r="I49" s="2" t="s">
        <v>90</v>
      </c>
      <c r="J49" s="41">
        <v>9000</v>
      </c>
      <c r="K49" s="21">
        <f t="shared" si="5"/>
        <v>9900</v>
      </c>
      <c r="L49" s="33">
        <v>3272364</v>
      </c>
      <c r="N49" t="s">
        <v>49</v>
      </c>
      <c r="O49">
        <v>1000</v>
      </c>
      <c r="P49">
        <v>1000</v>
      </c>
      <c r="Q49">
        <v>0</v>
      </c>
      <c r="R49">
        <f t="shared" si="2"/>
        <v>1100</v>
      </c>
      <c r="S49">
        <f t="shared" si="1"/>
        <v>1100</v>
      </c>
      <c r="U49">
        <f t="shared" si="3"/>
        <v>0</v>
      </c>
    </row>
    <row r="50" spans="1:21" ht="19.8" thickBot="1">
      <c r="A50" s="4"/>
      <c r="B50" s="4"/>
      <c r="C50" s="30" t="s">
        <v>50</v>
      </c>
      <c r="D50" s="5" t="s">
        <v>197</v>
      </c>
      <c r="E50" s="7" t="s">
        <v>198</v>
      </c>
      <c r="F50" s="13"/>
      <c r="G50" s="2" t="s">
        <v>127</v>
      </c>
      <c r="H50" s="16">
        <v>2000</v>
      </c>
      <c r="I50" s="2" t="s">
        <v>120</v>
      </c>
      <c r="J50" s="41">
        <v>1000</v>
      </c>
      <c r="K50" s="16">
        <f t="shared" si="5"/>
        <v>1100</v>
      </c>
      <c r="L50" s="33">
        <v>1268129</v>
      </c>
      <c r="N50" t="s">
        <v>50</v>
      </c>
      <c r="O50">
        <v>0</v>
      </c>
      <c r="P50">
        <v>0</v>
      </c>
      <c r="Q50">
        <v>0</v>
      </c>
      <c r="R50">
        <f t="shared" si="2"/>
        <v>0</v>
      </c>
      <c r="S50">
        <f t="shared" si="1"/>
        <v>0</v>
      </c>
      <c r="U50">
        <f t="shared" si="3"/>
        <v>0</v>
      </c>
    </row>
    <row r="51" spans="1:21" s="79" customFormat="1" ht="19.8" thickBot="1">
      <c r="A51" s="71"/>
      <c r="B51" s="71"/>
      <c r="C51" s="72" t="s">
        <v>51</v>
      </c>
      <c r="D51" s="73"/>
      <c r="E51" s="74"/>
      <c r="F51" s="74"/>
      <c r="G51" s="75"/>
      <c r="H51" s="76"/>
      <c r="I51" s="75"/>
      <c r="J51" s="77"/>
      <c r="K51" s="76"/>
      <c r="L51" s="78"/>
      <c r="O51" s="79">
        <v>1000</v>
      </c>
      <c r="P51" s="79">
        <v>1000</v>
      </c>
      <c r="R51" s="79">
        <f t="shared" si="2"/>
        <v>1100</v>
      </c>
      <c r="S51" s="79">
        <f t="shared" si="1"/>
        <v>1100</v>
      </c>
      <c r="U51">
        <f t="shared" si="3"/>
        <v>0</v>
      </c>
    </row>
    <row r="52" spans="1:21" ht="19.8" thickBot="1">
      <c r="A52" s="4"/>
      <c r="B52" s="4"/>
      <c r="C52" s="30" t="s">
        <v>53</v>
      </c>
      <c r="D52" s="5"/>
      <c r="E52" s="7"/>
      <c r="F52" s="13"/>
      <c r="G52" s="2"/>
      <c r="H52" s="16"/>
      <c r="I52" s="2"/>
      <c r="J52" s="41"/>
      <c r="K52" s="16"/>
      <c r="O52" s="68">
        <f>SUM(O2:O51)</f>
        <v>3464000</v>
      </c>
      <c r="P52" s="68">
        <f>SUM(P2:P51)</f>
        <v>162000</v>
      </c>
      <c r="Q52" s="68"/>
      <c r="R52" s="68">
        <f>SUM(R2:R51)</f>
        <v>3810400</v>
      </c>
      <c r="S52" s="68">
        <f>SUM(S2:S51)</f>
        <v>178200</v>
      </c>
      <c r="T52" s="68"/>
      <c r="U52" s="68">
        <f>SUM(U2:U51)</f>
        <v>3630660</v>
      </c>
    </row>
    <row r="53" spans="1:21" ht="19.8" thickBot="1">
      <c r="A53" s="4"/>
      <c r="B53" s="4"/>
      <c r="C53" s="30" t="s">
        <v>66</v>
      </c>
      <c r="D53" s="5"/>
      <c r="E53" s="7"/>
      <c r="F53" s="13"/>
      <c r="G53" s="2"/>
      <c r="H53" s="16"/>
      <c r="I53" s="2"/>
      <c r="J53" s="41"/>
      <c r="K53" s="16"/>
      <c r="O53" t="s">
        <v>208</v>
      </c>
      <c r="P53" t="s">
        <v>208</v>
      </c>
      <c r="R53" t="s">
        <v>208</v>
      </c>
    </row>
    <row r="54" spans="1:21" ht="19.8" thickBot="1">
      <c r="A54" s="4"/>
      <c r="B54" s="4"/>
      <c r="C54" s="30" t="s">
        <v>54</v>
      </c>
      <c r="D54" s="5"/>
      <c r="E54" s="3"/>
      <c r="G54" s="2"/>
      <c r="H54" s="16"/>
      <c r="I54" s="2"/>
      <c r="J54" s="41"/>
      <c r="K54" s="16"/>
      <c r="O54" s="80">
        <v>3464000</v>
      </c>
      <c r="P54" s="80">
        <v>165500</v>
      </c>
      <c r="Q54" s="80"/>
      <c r="R54" s="80">
        <v>3810400</v>
      </c>
      <c r="S54" s="80">
        <f>P54*1.1</f>
        <v>182050.00000000003</v>
      </c>
      <c r="T54" s="80"/>
      <c r="U54" s="80">
        <f>R54-S54</f>
        <v>3628350</v>
      </c>
    </row>
    <row r="55" spans="1:21" ht="19.8" thickBot="1">
      <c r="A55" s="4"/>
      <c r="B55" s="4"/>
      <c r="C55" s="30" t="s">
        <v>55</v>
      </c>
      <c r="D55" s="5"/>
      <c r="E55" s="7"/>
      <c r="F55" s="13"/>
      <c r="G55" s="2"/>
      <c r="H55" s="16"/>
      <c r="I55" s="2"/>
      <c r="J55" s="41"/>
      <c r="K55" s="16"/>
      <c r="P55" s="69" t="s">
        <v>212</v>
      </c>
      <c r="Q55" s="69" t="s">
        <v>209</v>
      </c>
      <c r="R55" s="69">
        <v>3000</v>
      </c>
      <c r="S55" s="69" t="s">
        <v>211</v>
      </c>
    </row>
    <row r="56" spans="1:21" ht="19.8" thickBot="1">
      <c r="A56" s="4"/>
      <c r="B56" s="4"/>
      <c r="C56" s="30" t="s">
        <v>56</v>
      </c>
      <c r="D56" s="5"/>
      <c r="E56" s="7"/>
      <c r="F56" s="13"/>
      <c r="G56" s="2"/>
      <c r="H56" s="16"/>
      <c r="I56" s="2"/>
      <c r="J56" s="41"/>
      <c r="K56" s="16"/>
      <c r="P56" s="69"/>
      <c r="Q56" s="69" t="s">
        <v>210</v>
      </c>
      <c r="R56" s="69">
        <v>500</v>
      </c>
      <c r="S56" s="69"/>
    </row>
    <row r="57" spans="1:21" ht="19.8" thickBot="1">
      <c r="A57" s="4"/>
      <c r="B57" s="4"/>
      <c r="C57" s="30" t="s">
        <v>57</v>
      </c>
      <c r="D57" s="5"/>
      <c r="E57" s="7"/>
      <c r="F57" s="13"/>
      <c r="G57" s="2"/>
      <c r="H57" s="16"/>
      <c r="I57" s="2"/>
      <c r="J57" s="41"/>
      <c r="K57" s="16"/>
      <c r="P57" s="69"/>
      <c r="Q57" s="69"/>
      <c r="R57" s="69" t="s">
        <v>208</v>
      </c>
      <c r="S57" s="69"/>
    </row>
    <row r="58" spans="1:21" ht="19.8" thickBot="1">
      <c r="A58" s="4"/>
      <c r="B58" s="9"/>
      <c r="C58" s="30" t="s">
        <v>58</v>
      </c>
      <c r="D58" s="5"/>
      <c r="E58" s="7"/>
      <c r="F58" s="13"/>
      <c r="G58" s="2"/>
      <c r="H58" s="16"/>
      <c r="I58" s="2"/>
      <c r="J58" s="41"/>
      <c r="K58" s="16"/>
    </row>
    <row r="59" spans="1:21" ht="19.8" thickBot="1">
      <c r="A59" s="4"/>
      <c r="B59" s="4"/>
      <c r="C59" s="30" t="s">
        <v>59</v>
      </c>
      <c r="D59" s="5"/>
      <c r="E59" s="7"/>
      <c r="F59" s="13"/>
      <c r="G59" s="2"/>
      <c r="H59" s="16"/>
      <c r="I59" s="2"/>
      <c r="J59" s="41"/>
      <c r="K59" s="16"/>
    </row>
    <row r="60" spans="1:21" ht="19.8" thickBot="1">
      <c r="A60" s="4"/>
      <c r="B60" s="4"/>
      <c r="C60" s="30" t="s">
        <v>60</v>
      </c>
      <c r="D60" s="5"/>
      <c r="E60" s="7"/>
      <c r="F60" s="13"/>
      <c r="G60" s="2"/>
      <c r="H60" s="16"/>
      <c r="I60" s="2"/>
      <c r="J60" s="41"/>
      <c r="K60" s="16"/>
    </row>
    <row r="61" spans="1:21" ht="19.8" thickBot="1">
      <c r="A61" s="4"/>
      <c r="B61" s="4"/>
      <c r="C61" s="30" t="s">
        <v>65</v>
      </c>
      <c r="D61" s="5"/>
      <c r="E61" s="7"/>
      <c r="F61" s="13"/>
      <c r="G61" s="2"/>
      <c r="H61" s="16"/>
      <c r="I61" s="2"/>
      <c r="J61" s="41"/>
      <c r="K61" s="16"/>
    </row>
    <row r="62" spans="1:21" ht="19.8" thickBot="1">
      <c r="A62" s="4"/>
      <c r="B62" s="4"/>
      <c r="C62" s="30"/>
      <c r="D62" s="5"/>
      <c r="E62" s="3"/>
      <c r="G62" s="2"/>
      <c r="H62" s="16"/>
      <c r="I62" s="2"/>
      <c r="J62" s="41"/>
      <c r="K62" s="16"/>
    </row>
    <row r="63" spans="1:21" ht="19.8" thickBot="1">
      <c r="A63" s="4"/>
      <c r="B63" s="4"/>
      <c r="C63" s="30"/>
      <c r="D63" s="5"/>
      <c r="E63" s="3"/>
      <c r="G63" s="2"/>
      <c r="H63" s="16"/>
      <c r="I63" s="2"/>
      <c r="J63" s="41"/>
      <c r="K63" s="16"/>
    </row>
    <row r="64" spans="1:21" ht="19.8" thickBot="1">
      <c r="A64" s="4"/>
      <c r="B64" s="4"/>
      <c r="C64" s="30"/>
      <c r="D64" s="5"/>
      <c r="E64" s="3"/>
      <c r="G64" s="2"/>
      <c r="H64" s="16"/>
      <c r="I64" s="2"/>
      <c r="J64" s="41"/>
      <c r="K64" s="16"/>
    </row>
    <row r="65" spans="1:11" ht="19.8" thickBot="1">
      <c r="A65" s="4"/>
      <c r="B65" s="4"/>
      <c r="C65" s="30"/>
      <c r="D65" s="5"/>
      <c r="E65" s="3"/>
      <c r="G65" s="2"/>
      <c r="H65" s="16"/>
      <c r="I65" s="2"/>
      <c r="J65" s="41"/>
      <c r="K65" s="16"/>
    </row>
    <row r="66" spans="1:11" ht="19.8" thickBot="1">
      <c r="A66" s="4"/>
      <c r="B66" s="4"/>
      <c r="C66" s="30"/>
      <c r="D66" s="5"/>
      <c r="E66" s="3"/>
      <c r="G66" s="2"/>
      <c r="H66" s="16"/>
      <c r="I66" s="2"/>
      <c r="J66" s="41"/>
      <c r="K66" s="18"/>
    </row>
    <row r="67" spans="1:11" ht="19.8" thickBot="1">
      <c r="A67" s="4"/>
      <c r="B67" s="4"/>
      <c r="C67" s="30"/>
      <c r="D67" s="5"/>
      <c r="E67" s="3"/>
      <c r="G67" s="2"/>
      <c r="H67" s="16"/>
      <c r="I67" s="2"/>
      <c r="J67" s="41"/>
      <c r="K67" s="18"/>
    </row>
    <row r="68" spans="1:11" ht="19.8" thickBot="1">
      <c r="A68" s="4"/>
      <c r="B68" s="4"/>
      <c r="C68" s="30"/>
      <c r="D68" s="5"/>
      <c r="E68" s="3"/>
      <c r="G68" s="2"/>
      <c r="H68" s="16"/>
      <c r="I68" s="2"/>
      <c r="J68" s="41"/>
      <c r="K68" s="18"/>
    </row>
    <row r="69" spans="1:11" ht="19.8" thickBot="1">
      <c r="A69" s="4"/>
      <c r="B69" s="4"/>
      <c r="C69" s="30"/>
      <c r="D69" s="22"/>
      <c r="E69" s="23"/>
      <c r="F69" s="26"/>
      <c r="G69" s="24"/>
      <c r="H69" s="17"/>
      <c r="I69" s="24"/>
      <c r="J69" s="41"/>
      <c r="K69" s="19"/>
    </row>
    <row r="70" spans="1:11">
      <c r="A70" s="2"/>
      <c r="B70" s="2"/>
      <c r="C70" s="30"/>
      <c r="D70" s="11"/>
      <c r="G70" s="2"/>
      <c r="H70" s="12"/>
      <c r="I70" s="2"/>
      <c r="J70" s="42"/>
      <c r="K70" s="45"/>
    </row>
    <row r="71" spans="1:11">
      <c r="A71" s="2"/>
      <c r="B71" s="2"/>
      <c r="C71" s="30"/>
      <c r="D71" s="11"/>
      <c r="G71" s="2"/>
      <c r="H71" s="12"/>
      <c r="I71" s="2"/>
      <c r="J71" s="42"/>
      <c r="K71" s="45"/>
    </row>
    <row r="72" spans="1:11">
      <c r="A72" s="2"/>
      <c r="B72" s="2"/>
      <c r="C72" s="31"/>
      <c r="D72" s="11"/>
      <c r="G72" s="2"/>
      <c r="H72" s="12"/>
      <c r="I72" s="2"/>
      <c r="J72" s="42"/>
      <c r="K72" s="45"/>
    </row>
    <row r="73" spans="1:11">
      <c r="A73" s="2"/>
      <c r="B73" s="2"/>
      <c r="C73" s="31"/>
      <c r="D73" s="11"/>
      <c r="G73" s="2"/>
      <c r="H73" s="12"/>
      <c r="I73" s="2"/>
      <c r="J73" s="42"/>
      <c r="K73" s="45"/>
    </row>
    <row r="74" spans="1:11">
      <c r="A74" s="2"/>
      <c r="B74" s="2"/>
      <c r="C74" s="31"/>
      <c r="D74" s="11"/>
      <c r="G74" s="2"/>
      <c r="H74" s="12"/>
      <c r="I74" s="2"/>
      <c r="J74" s="42"/>
      <c r="K74" s="45"/>
    </row>
    <row r="75" spans="1:11">
      <c r="A75" s="2"/>
      <c r="B75" s="2"/>
      <c r="C75" s="31"/>
      <c r="D75" s="11"/>
      <c r="G75" s="2"/>
      <c r="H75" s="12"/>
      <c r="I75" s="2"/>
      <c r="J75" s="42"/>
      <c r="K75" s="45"/>
    </row>
    <row r="76" spans="1:11">
      <c r="A76" s="2"/>
      <c r="B76" s="2"/>
      <c r="C76" s="31"/>
      <c r="D76" s="11"/>
      <c r="G76" s="2"/>
      <c r="H76" s="12"/>
      <c r="I76" s="2"/>
      <c r="J76" s="42"/>
      <c r="K76" s="45"/>
    </row>
    <row r="77" spans="1:11">
      <c r="A77" s="2"/>
      <c r="B77" s="2"/>
      <c r="C77" s="31"/>
      <c r="D77" s="11"/>
      <c r="G77" s="2"/>
      <c r="H77" s="12"/>
      <c r="I77" s="2"/>
      <c r="J77" s="42"/>
      <c r="K77" s="45"/>
    </row>
    <row r="78" spans="1:11">
      <c r="A78" s="2"/>
      <c r="B78" s="2"/>
      <c r="C78" s="31"/>
      <c r="D78" s="11"/>
      <c r="G78" s="2"/>
      <c r="H78" s="12"/>
      <c r="I78" s="2"/>
      <c r="J78" s="42"/>
      <c r="K78" s="45"/>
    </row>
    <row r="79" spans="1:11">
      <c r="A79" s="2"/>
      <c r="B79" s="2"/>
      <c r="C79" s="31"/>
      <c r="D79" s="11"/>
      <c r="G79" s="2"/>
      <c r="H79" s="12"/>
      <c r="I79" s="2"/>
      <c r="J79" s="42"/>
      <c r="K79" s="45"/>
    </row>
    <row r="80" spans="1:11">
      <c r="A80" s="2"/>
      <c r="B80" s="2"/>
      <c r="C80" s="31"/>
      <c r="D80" s="11"/>
      <c r="G80" s="2"/>
      <c r="H80" s="12"/>
      <c r="I80" s="2"/>
      <c r="J80" s="42"/>
      <c r="K80" s="45"/>
    </row>
    <row r="81" spans="1:11">
      <c r="A81" s="2"/>
      <c r="B81" s="2"/>
      <c r="C81" s="31"/>
      <c r="D81" s="11"/>
      <c r="G81" s="2"/>
      <c r="H81" s="12"/>
      <c r="I81" s="2"/>
      <c r="J81" s="42"/>
      <c r="K81" s="45"/>
    </row>
    <row r="82" spans="1:11">
      <c r="A82" s="2"/>
      <c r="B82" s="2"/>
      <c r="C82" s="31"/>
      <c r="D82" s="11"/>
      <c r="G82" s="2"/>
      <c r="H82" s="12"/>
      <c r="I82" s="2"/>
      <c r="J82" s="42"/>
      <c r="K82" s="45"/>
    </row>
    <row r="83" spans="1:11">
      <c r="A83" s="2"/>
      <c r="B83" s="2"/>
      <c r="C83" s="31"/>
      <c r="D83" s="11"/>
      <c r="G83" s="2"/>
      <c r="H83" s="12"/>
      <c r="I83" s="2"/>
      <c r="J83" s="42"/>
      <c r="K83" s="45"/>
    </row>
    <row r="84" spans="1:11">
      <c r="A84" s="2"/>
      <c r="B84" s="2"/>
      <c r="C84" s="31"/>
      <c r="D84" s="11"/>
      <c r="G84" s="2"/>
      <c r="H84" s="12"/>
      <c r="I84" s="2"/>
      <c r="J84" s="42"/>
      <c r="K84" s="45"/>
    </row>
    <row r="85" spans="1:11">
      <c r="A85" s="2"/>
      <c r="B85" s="2"/>
      <c r="C85" s="31"/>
      <c r="D85" s="11"/>
      <c r="G85" s="2"/>
      <c r="H85" s="12"/>
      <c r="I85" s="2"/>
      <c r="J85" s="42"/>
      <c r="K85" s="45"/>
    </row>
    <row r="86" spans="1:11">
      <c r="A86" s="2"/>
      <c r="B86" s="2"/>
      <c r="C86" s="31"/>
      <c r="D86" s="11"/>
      <c r="G86" s="2"/>
      <c r="H86" s="12"/>
      <c r="I86" s="2"/>
      <c r="J86" s="42"/>
      <c r="K86" s="45"/>
    </row>
    <row r="87" spans="1:11">
      <c r="A87" s="2"/>
      <c r="B87" s="2"/>
      <c r="C87" s="31"/>
      <c r="D87" s="11"/>
      <c r="G87" s="2"/>
      <c r="H87" s="12"/>
      <c r="I87" s="2"/>
      <c r="J87" s="42"/>
      <c r="K87" s="45"/>
    </row>
    <row r="88" spans="1:11">
      <c r="A88" s="2"/>
      <c r="B88" s="2"/>
      <c r="C88" s="31"/>
      <c r="D88" s="11"/>
      <c r="G88" s="2"/>
      <c r="H88" s="12"/>
      <c r="I88" s="2"/>
      <c r="J88" s="42"/>
      <c r="K88" s="45"/>
    </row>
    <row r="89" spans="1:11">
      <c r="A89" s="2"/>
      <c r="B89" s="2"/>
      <c r="C89" s="31"/>
      <c r="D89" s="11"/>
      <c r="G89" s="2"/>
      <c r="H89" s="12"/>
      <c r="I89" s="2"/>
      <c r="J89" s="42"/>
      <c r="K89" s="45"/>
    </row>
    <row r="90" spans="1:11">
      <c r="A90" s="2"/>
      <c r="B90" s="2"/>
      <c r="C90" s="31"/>
      <c r="D90" s="11"/>
      <c r="G90" s="2"/>
      <c r="H90" s="12"/>
      <c r="I90" s="2"/>
      <c r="J90" s="42"/>
      <c r="K90" s="45"/>
    </row>
    <row r="91" spans="1:11">
      <c r="A91" s="2"/>
      <c r="B91" s="2"/>
      <c r="C91" s="31"/>
      <c r="D91" s="11"/>
      <c r="G91" s="2"/>
      <c r="H91" s="12"/>
      <c r="I91" s="2"/>
      <c r="J91" s="42"/>
      <c r="K91" s="45"/>
    </row>
    <row r="92" spans="1:11">
      <c r="A92" s="2"/>
      <c r="B92" s="2"/>
      <c r="C92" s="31"/>
      <c r="D92" s="11"/>
      <c r="G92" s="2"/>
      <c r="H92" s="12"/>
      <c r="I92" s="2"/>
      <c r="J92" s="42"/>
      <c r="K92" s="45"/>
    </row>
    <row r="93" spans="1:11">
      <c r="A93" s="2"/>
      <c r="B93" s="2"/>
      <c r="C93" s="31"/>
      <c r="D93" s="11"/>
      <c r="G93" s="2"/>
      <c r="H93" s="12"/>
      <c r="I93" s="2"/>
      <c r="J93" s="42"/>
      <c r="K93" s="45"/>
    </row>
    <row r="94" spans="1:11">
      <c r="A94" s="2"/>
      <c r="B94" s="2"/>
      <c r="C94" s="31"/>
      <c r="D94" s="11"/>
      <c r="G94" s="2"/>
      <c r="H94" s="12"/>
      <c r="I94" s="2"/>
      <c r="J94" s="42"/>
      <c r="K94" s="45"/>
    </row>
    <row r="95" spans="1:11">
      <c r="A95" s="2"/>
      <c r="B95" s="2"/>
      <c r="C95" s="31"/>
      <c r="D95" s="11"/>
      <c r="G95" s="2"/>
      <c r="H95" s="12"/>
      <c r="I95" s="2"/>
      <c r="J95" s="42"/>
      <c r="K95" s="45"/>
    </row>
    <row r="96" spans="1:11">
      <c r="A96" s="2"/>
      <c r="B96" s="2"/>
      <c r="C96" s="31"/>
      <c r="D96" s="11"/>
      <c r="G96" s="2"/>
      <c r="H96" s="12"/>
      <c r="I96" s="2"/>
      <c r="J96" s="42"/>
      <c r="K96" s="45"/>
    </row>
    <row r="97" spans="1:11">
      <c r="A97" s="2"/>
      <c r="B97" s="2"/>
      <c r="C97" s="31"/>
      <c r="D97" s="11"/>
      <c r="G97" s="2"/>
      <c r="H97" s="12"/>
      <c r="I97" s="2"/>
      <c r="J97" s="42"/>
      <c r="K97" s="45"/>
    </row>
    <row r="98" spans="1:11">
      <c r="A98" s="2"/>
      <c r="B98" s="2"/>
      <c r="C98" s="31"/>
      <c r="D98" s="11"/>
      <c r="G98" s="2"/>
      <c r="H98" s="12"/>
      <c r="I98" s="2"/>
      <c r="J98" s="42"/>
      <c r="K98" s="45"/>
    </row>
    <row r="99" spans="1:11">
      <c r="A99" s="2"/>
      <c r="B99" s="2"/>
      <c r="C99" s="31"/>
      <c r="D99" s="11"/>
      <c r="G99" s="2"/>
      <c r="H99" s="12"/>
      <c r="I99" s="2"/>
      <c r="J99" s="42"/>
      <c r="K99" s="45"/>
    </row>
    <row r="100" spans="1:11">
      <c r="A100" s="2"/>
      <c r="B100" s="2"/>
      <c r="C100" s="31"/>
      <c r="D100" s="11"/>
      <c r="G100" s="2"/>
      <c r="H100" s="12"/>
      <c r="I100" s="2"/>
      <c r="J100" s="42"/>
      <c r="K100" s="45"/>
    </row>
    <row r="101" spans="1:11">
      <c r="A101" s="2"/>
      <c r="B101" s="2"/>
      <c r="C101" s="31"/>
      <c r="D101" s="11"/>
      <c r="G101" s="2"/>
      <c r="H101" s="12"/>
      <c r="I101" s="2"/>
      <c r="J101" s="42"/>
      <c r="K101" s="45"/>
    </row>
    <row r="102" spans="1:11">
      <c r="B102" s="25"/>
      <c r="C102" s="31"/>
      <c r="D102" s="11"/>
      <c r="H102" s="12"/>
      <c r="I102" s="2"/>
      <c r="J102" s="42"/>
      <c r="K102" s="45"/>
    </row>
    <row r="103" spans="1:11">
      <c r="B103" s="25"/>
      <c r="C103" s="31"/>
      <c r="D103" s="11"/>
      <c r="H103" s="12"/>
      <c r="I103" s="2"/>
      <c r="J103" s="42"/>
      <c r="K103" s="45"/>
    </row>
    <row r="104" spans="1:11">
      <c r="B104" s="25"/>
      <c r="C104" s="31"/>
      <c r="D104" s="11"/>
      <c r="H104" s="12"/>
      <c r="I104" s="2"/>
      <c r="J104" s="42"/>
      <c r="K104" s="45"/>
    </row>
    <row r="105" spans="1:11">
      <c r="B105" s="25"/>
      <c r="C105" s="31"/>
      <c r="D105" s="11"/>
      <c r="H105" s="12"/>
      <c r="I105" s="2"/>
      <c r="J105" s="42"/>
      <c r="K105" s="45"/>
    </row>
    <row r="106" spans="1:11">
      <c r="B106" s="25"/>
      <c r="C106" s="31"/>
      <c r="D106" s="11"/>
      <c r="H106" s="12"/>
      <c r="I106" s="2"/>
      <c r="J106" s="42"/>
      <c r="K106" s="45"/>
    </row>
    <row r="107" spans="1:11">
      <c r="B107" s="25"/>
      <c r="C107" s="31"/>
      <c r="D107" s="11"/>
      <c r="H107" s="12"/>
      <c r="I107" s="2"/>
      <c r="J107" s="42"/>
      <c r="K107" s="45"/>
    </row>
    <row r="108" spans="1:11">
      <c r="B108" s="25"/>
      <c r="C108" s="31"/>
      <c r="D108" s="11"/>
      <c r="H108" s="12"/>
      <c r="I108" s="2"/>
      <c r="J108" s="42"/>
      <c r="K108" s="45"/>
    </row>
    <row r="109" spans="1:11">
      <c r="B109" s="25"/>
      <c r="C109" s="31"/>
      <c r="H109" s="12"/>
      <c r="I109" s="2"/>
      <c r="J109" s="42"/>
      <c r="K109" s="45"/>
    </row>
  </sheetData>
  <autoFilter ref="C1:C109" xr:uid="{B5AAC1F4-B88F-4EB3-8B2A-FC29A02AF761}">
    <sortState xmlns:xlrd2="http://schemas.microsoft.com/office/spreadsheetml/2017/richdata2" ref="A2:S109">
      <sortCondition ref="C1:C109"/>
    </sortState>
  </autoFilter>
  <phoneticPr fontId="3"/>
  <dataValidations count="2">
    <dataValidation type="textLength" allowBlank="1" showInputMessage="1" showErrorMessage="1" error="100文字以下で入力してください。" sqref="C2:C41 F2:F38 E2:E40 D2:D108" xr:uid="{F23DC733-EBC9-4EA4-94D4-E4B1574257AC}">
      <formula1>0</formula1>
      <formula2>100</formula2>
    </dataValidation>
    <dataValidation type="whole" imeMode="disabled" operator="greaterThanOrEqual" allowBlank="1" showInputMessage="1" showErrorMessage="1" errorTitle="指値(円)" error="指値(円)は、2,000以上で入力してください。" sqref="H2:H109" xr:uid="{9E900002-4733-49FD-807F-76D1B4A8EA5C}">
      <formula1>2000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原本</vt:lpstr>
      <vt:lpstr>Sheet2</vt:lpstr>
      <vt:lpstr>原本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ja888</dc:creator>
  <cp:lastModifiedBy>淳平 荒木</cp:lastModifiedBy>
  <cp:lastPrinted>2024-06-20T08:42:34Z</cp:lastPrinted>
  <dcterms:created xsi:type="dcterms:W3CDTF">2021-08-06T08:28:01Z</dcterms:created>
  <dcterms:modified xsi:type="dcterms:W3CDTF">2026-04-07T06:34:03Z</dcterms:modified>
</cp:coreProperties>
</file>